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nelengubane/Downloads/"/>
    </mc:Choice>
  </mc:AlternateContent>
  <xr:revisionPtr revIDLastSave="0" documentId="13_ncr:1_{4D88FDDC-0AF3-F743-8288-92EB6BA8DE41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📊 Dashboard" sheetId="1" r:id="rId1"/>
    <sheet name="Transactions" sheetId="2" r:id="rId2"/>
    <sheet name="Bonuses" sheetId="3" r:id="rId3"/>
    <sheet name="🚨 Fraud Alerts" sheetId="4" r:id="rId4"/>
  </sheets>
  <definedNames>
    <definedName name="_xlnm._FilterDatabase" localSheetId="2" hidden="1">Bonuses!$A$1:$N$1</definedName>
    <definedName name="_xlnm._FilterDatabase" localSheetId="1" hidden="1">Transactions!$A$1:$R$1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4" l="1"/>
  <c r="E7" i="4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H7" i="4" s="1"/>
  <c r="R501" i="2"/>
  <c r="Q501" i="2"/>
  <c r="Q500" i="2"/>
  <c r="R500" i="2" s="1"/>
  <c r="R499" i="2"/>
  <c r="Q499" i="2"/>
  <c r="R498" i="2"/>
  <c r="Q498" i="2"/>
  <c r="R497" i="2"/>
  <c r="Q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R475" i="2"/>
  <c r="Q475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8" i="2"/>
  <c r="Q468" i="2"/>
  <c r="R467" i="2"/>
  <c r="Q467" i="2"/>
  <c r="R466" i="2"/>
  <c r="Q466" i="2"/>
  <c r="R465" i="2"/>
  <c r="Q465" i="2"/>
  <c r="R464" i="2"/>
  <c r="Q464" i="2"/>
  <c r="R463" i="2"/>
  <c r="Q463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6" i="2"/>
  <c r="Q456" i="2"/>
  <c r="R455" i="2"/>
  <c r="Q455" i="2"/>
  <c r="R454" i="2"/>
  <c r="Q454" i="2"/>
  <c r="R453" i="2"/>
  <c r="Q453" i="2"/>
  <c r="R452" i="2"/>
  <c r="Q452" i="2"/>
  <c r="R451" i="2"/>
  <c r="Q451" i="2"/>
  <c r="R450" i="2"/>
  <c r="Q450" i="2"/>
  <c r="R449" i="2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9" i="2"/>
  <c r="Q439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90" i="2"/>
  <c r="Q390" i="2"/>
  <c r="R389" i="2"/>
  <c r="Q389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42" i="2"/>
  <c r="Q342" i="2"/>
  <c r="R341" i="2"/>
  <c r="Q341" i="2"/>
  <c r="R340" i="2"/>
  <c r="Q340" i="2"/>
  <c r="R339" i="2"/>
  <c r="Q339" i="2"/>
  <c r="R338" i="2"/>
  <c r="Q338" i="2"/>
  <c r="R337" i="2"/>
  <c r="Q337" i="2"/>
  <c r="R336" i="2"/>
  <c r="Q336" i="2"/>
  <c r="R335" i="2"/>
  <c r="Q335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7" i="2"/>
  <c r="Q257" i="2"/>
  <c r="R256" i="2"/>
  <c r="Q256" i="2"/>
  <c r="R255" i="2"/>
  <c r="Q255" i="2"/>
  <c r="R254" i="2"/>
  <c r="Q254" i="2"/>
  <c r="R253" i="2"/>
  <c r="Q253" i="2"/>
  <c r="R252" i="2"/>
  <c r="Q252" i="2"/>
  <c r="R251" i="2"/>
  <c r="Q251" i="2"/>
  <c r="R250" i="2"/>
  <c r="Q250" i="2"/>
  <c r="R249" i="2"/>
  <c r="Q249" i="2"/>
  <c r="R248" i="2"/>
  <c r="Q248" i="2"/>
  <c r="R247" i="2"/>
  <c r="Q247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6" i="2"/>
  <c r="Q206" i="2"/>
  <c r="R205" i="2"/>
  <c r="Q205" i="2"/>
  <c r="R204" i="2"/>
  <c r="Q204" i="2"/>
  <c r="R203" i="2"/>
  <c r="Q203" i="2"/>
  <c r="R202" i="2"/>
  <c r="Q202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R193" i="2"/>
  <c r="Q193" i="2"/>
  <c r="R192" i="2"/>
  <c r="Q192" i="2"/>
  <c r="R191" i="2"/>
  <c r="Q191" i="2"/>
  <c r="R190" i="2"/>
  <c r="Q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1" i="2"/>
  <c r="Q181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66" i="2"/>
  <c r="Q166" i="2"/>
  <c r="R165" i="2"/>
  <c r="Q165" i="2"/>
  <c r="R164" i="2"/>
  <c r="Q164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7" i="2"/>
  <c r="Q157" i="2"/>
  <c r="R156" i="2"/>
  <c r="Q156" i="2"/>
  <c r="R155" i="2"/>
  <c r="Q155" i="2"/>
  <c r="R154" i="2"/>
  <c r="Q154" i="2"/>
  <c r="R153" i="2"/>
  <c r="Q153" i="2"/>
  <c r="R152" i="2"/>
  <c r="Q152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R145" i="2"/>
  <c r="Q145" i="2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2" i="2"/>
  <c r="Q132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B7" i="4" s="1"/>
  <c r="Q2" i="2"/>
  <c r="Q7" i="1"/>
  <c r="K7" i="1"/>
  <c r="E7" i="1"/>
  <c r="B7" i="1"/>
  <c r="H7" i="1" l="1"/>
  <c r="N7" i="1"/>
</calcChain>
</file>

<file path=xl/sharedStrings.xml><?xml version="1.0" encoding="utf-8"?>
<sst xmlns="http://schemas.openxmlformats.org/spreadsheetml/2006/main" count="7305" uniqueCount="1635">
  <si>
    <t xml:space="preserve">  Data Period: Jan 2025 – Mar 2026  |  500 Transactions  |  200 Bonus Records  |  Auto-updated from raw data sheets</t>
  </si>
  <si>
    <t>TOTAL TRANSACTIONS</t>
  </si>
  <si>
    <t>TOTAL BET VOLUME (R)</t>
  </si>
  <si>
    <t>HIGH RISK TX (Score≥60)</t>
  </si>
  <si>
    <t>LOCATION MISMATCHES</t>
  </si>
  <si>
    <t>BONUS ABUSE FLAGS</t>
  </si>
  <si>
    <t>NO-KYC TRANSACTIONS</t>
  </si>
  <si>
    <t xml:space="preserve">  📡 FRAUD SCORE BY CHANNEL</t>
  </si>
  <si>
    <t xml:space="preserve">  🌍 LOGIN COUNTRY RISK SUMMARY</t>
  </si>
  <si>
    <t>Channel</t>
  </si>
  <si>
    <t>TX Count</t>
  </si>
  <si>
    <t>Avg Bet (R)</t>
  </si>
  <si>
    <t>Avg Fraud Score</t>
  </si>
  <si>
    <t>High Risk Count</t>
  </si>
  <si>
    <t>% High Risk</t>
  </si>
  <si>
    <t>Login Country</t>
  </si>
  <si>
    <t>Total Bet (R)</t>
  </si>
  <si>
    <t>Total Win (R)</t>
  </si>
  <si>
    <t>Risk Level</t>
  </si>
  <si>
    <t>Sports-Football</t>
  </si>
  <si>
    <t>Nigeria</t>
  </si>
  <si>
    <t>🟡 MEDIUM</t>
  </si>
  <si>
    <t>Bonus-Wagering</t>
  </si>
  <si>
    <t>Russia</t>
  </si>
  <si>
    <t>🟢 LOW</t>
  </si>
  <si>
    <t>Casino-Slots</t>
  </si>
  <si>
    <t>Kenya</t>
  </si>
  <si>
    <t>Sports-Cricket</t>
  </si>
  <si>
    <t>Unknown</t>
  </si>
  <si>
    <t>Sports-Horse</t>
  </si>
  <si>
    <t>Romania</t>
  </si>
  <si>
    <t>Casino-Live</t>
  </si>
  <si>
    <t>Zimbabwe</t>
  </si>
  <si>
    <t>Casino-Table</t>
  </si>
  <si>
    <t>South Africa</t>
  </si>
  <si>
    <t xml:space="preserve">  ⚠️ TOP 15 HIGHEST RISK PLAYERS  —  Combined transaction + bonus fraud scores</t>
  </si>
  <si>
    <t>Player ID</t>
  </si>
  <si>
    <t>Username</t>
  </si>
  <si>
    <t># Login Countries</t>
  </si>
  <si>
    <t>Action Required</t>
  </si>
  <si>
    <t>PLY00067</t>
  </si>
  <si>
    <t>user_53719</t>
  </si>
  <si>
    <t>🔴 CRITICAL</t>
  </si>
  <si>
    <t>🔒 Suspend &amp; Investigate</t>
  </si>
  <si>
    <t>PLY00178</t>
  </si>
  <si>
    <t>user_70482</t>
  </si>
  <si>
    <t>PLY00099</t>
  </si>
  <si>
    <t>user_77889</t>
  </si>
  <si>
    <t>PLY00044</t>
  </si>
  <si>
    <t>user_68800</t>
  </si>
  <si>
    <t>PLY00023</t>
  </si>
  <si>
    <t>user_79352</t>
  </si>
  <si>
    <t>PLY00015</t>
  </si>
  <si>
    <t>user_99733</t>
  </si>
  <si>
    <t>PLY00007</t>
  </si>
  <si>
    <t>user_89131</t>
  </si>
  <si>
    <t>PLY00082</t>
  </si>
  <si>
    <t>user_55309</t>
  </si>
  <si>
    <t>PLY00145</t>
  </si>
  <si>
    <t>user_39816</t>
  </si>
  <si>
    <t>🟠 HIGH</t>
  </si>
  <si>
    <t>📋 Enhanced Review</t>
  </si>
  <si>
    <t>PLY00113</t>
  </si>
  <si>
    <t>user_97670</t>
  </si>
  <si>
    <t>PLY00197</t>
  </si>
  <si>
    <t>user_49251</t>
  </si>
  <si>
    <t>👁 Monitor</t>
  </si>
  <si>
    <t>PLY00193</t>
  </si>
  <si>
    <t>user_98389</t>
  </si>
  <si>
    <t>PLY00132</t>
  </si>
  <si>
    <t>user_67091</t>
  </si>
  <si>
    <t>PLY00060</t>
  </si>
  <si>
    <t>user_27361</t>
  </si>
  <si>
    <t>PLY00199</t>
  </si>
  <si>
    <t>user_99364</t>
  </si>
  <si>
    <t xml:space="preserve">  ℹ️ HOW TO USE THIS DASHBOARD</t>
  </si>
  <si>
    <t>1. PASTE your raw transaction data into the 'Transactions' sheet (columns A–N) — fraud scores auto-calculate.</t>
  </si>
  <si>
    <t>2. PASTE bonus data into the 'Bonuses' sheet — abuse scores auto-calculate based on wager ratio, multi-account flags, and KYC status.</t>
  </si>
  <si>
    <t>3. This Dashboard auto-updates — all KPI cards and tables pull live from the raw data sheets via formulas.</t>
  </si>
  <si>
    <t>4. Use the '🚨 Fraud Alerts' sheet for a focused view of flagged transactions, location mismatches, and bonus abuse cases.</t>
  </si>
  <si>
    <t>5. FRAUD SCORE formula: Location Mismatch +30 | Win Ratio &gt;3x +25 | No KYC +20 | Bet &gt;R1000 +15 | Unknown Device +10</t>
  </si>
  <si>
    <t>6. ABUSE SCORE formula: Multi-Account Flag +35 | Wager Ratio &lt;50% +30 | No KYC +20 | Withdrawal &gt;60% of bonus +15</t>
  </si>
  <si>
    <t>TX ID</t>
  </si>
  <si>
    <t>Date</t>
  </si>
  <si>
    <t>Time</t>
  </si>
  <si>
    <t>Device</t>
  </si>
  <si>
    <t>Reg Country</t>
  </si>
  <si>
    <t>Login City</t>
  </si>
  <si>
    <t>KYC Verified</t>
  </si>
  <si>
    <t>Bet Amount (R)</t>
  </si>
  <si>
    <t>Win Amount (R)</t>
  </si>
  <si>
    <t>Net Result (R)</t>
  </si>
  <si>
    <t>Location Mismatch</t>
  </si>
  <si>
    <t>VIP Level</t>
  </si>
  <si>
    <t>Win Ratio</t>
  </si>
  <si>
    <t>FRAUD SCORE</t>
  </si>
  <si>
    <t>TX10000</t>
  </si>
  <si>
    <t>PLY00150</t>
  </si>
  <si>
    <t>user_74454</t>
  </si>
  <si>
    <t>07:29</t>
  </si>
  <si>
    <t>Mobile-Android</t>
  </si>
  <si>
    <t>Moscow</t>
  </si>
  <si>
    <t>Yes</t>
  </si>
  <si>
    <t>No</t>
  </si>
  <si>
    <t>TX10001</t>
  </si>
  <si>
    <t>PLY00120</t>
  </si>
  <si>
    <t>user_14067</t>
  </si>
  <si>
    <t>21:34</t>
  </si>
  <si>
    <t>Tablet</t>
  </si>
  <si>
    <t>VPN/Proxy</t>
  </si>
  <si>
    <t>TX10002</t>
  </si>
  <si>
    <t>PLY00077</t>
  </si>
  <si>
    <t>user_70332</t>
  </si>
  <si>
    <t>13:44</t>
  </si>
  <si>
    <t>Desktop-Firefox</t>
  </si>
  <si>
    <t>Durban</t>
  </si>
  <si>
    <t>TX10003</t>
  </si>
  <si>
    <t>PLY00124</t>
  </si>
  <si>
    <t>user_13365</t>
  </si>
  <si>
    <t>07:24</t>
  </si>
  <si>
    <t>Desktop-Chrome</t>
  </si>
  <si>
    <t>Johannesburg</t>
  </si>
  <si>
    <t>TX10004</t>
  </si>
  <si>
    <t>PLY00006</t>
  </si>
  <si>
    <t>user_54118</t>
  </si>
  <si>
    <t>21:25</t>
  </si>
  <si>
    <t>Unknown-Device</t>
  </si>
  <si>
    <t>TX10005</t>
  </si>
  <si>
    <t>PLY00013</t>
  </si>
  <si>
    <t>user_89840</t>
  </si>
  <si>
    <t>23:31</t>
  </si>
  <si>
    <t>Mobile-iOS</t>
  </si>
  <si>
    <t>Harare</t>
  </si>
  <si>
    <t>TX10006</t>
  </si>
  <si>
    <t>PLY00156</t>
  </si>
  <si>
    <t>user_32782</t>
  </si>
  <si>
    <t>11:14</t>
  </si>
  <si>
    <t>TX10007</t>
  </si>
  <si>
    <t>21:53</t>
  </si>
  <si>
    <t>TX10008</t>
  </si>
  <si>
    <t>PLY00011</t>
  </si>
  <si>
    <t>user_46434</t>
  </si>
  <si>
    <t>14:02</t>
  </si>
  <si>
    <t>Bucharest</t>
  </si>
  <si>
    <t>TX10009</t>
  </si>
  <si>
    <t>PLY00084</t>
  </si>
  <si>
    <t>user_67154</t>
  </si>
  <si>
    <t>13:11</t>
  </si>
  <si>
    <t>TX10010</t>
  </si>
  <si>
    <t>PLY00129</t>
  </si>
  <si>
    <t>user_65057</t>
  </si>
  <si>
    <t>05:16</t>
  </si>
  <si>
    <t>Pretoria</t>
  </si>
  <si>
    <t>TX10011</t>
  </si>
  <si>
    <t>PLY00192</t>
  </si>
  <si>
    <t>user_54375</t>
  </si>
  <si>
    <t>03:29</t>
  </si>
  <si>
    <t>TX10012</t>
  </si>
  <si>
    <t>PLY00186</t>
  </si>
  <si>
    <t>user_41300</t>
  </si>
  <si>
    <t>12:54</t>
  </si>
  <si>
    <t>TX10013</t>
  </si>
  <si>
    <t>PLY00004</t>
  </si>
  <si>
    <t>user_81426</t>
  </si>
  <si>
    <t>17:07</t>
  </si>
  <si>
    <t>TX10014</t>
  </si>
  <si>
    <t>20:23</t>
  </si>
  <si>
    <t>TX10015</t>
  </si>
  <si>
    <t>PLY00144</t>
  </si>
  <si>
    <t>user_78765</t>
  </si>
  <si>
    <t>19:14</t>
  </si>
  <si>
    <t>TX10016</t>
  </si>
  <si>
    <t>PLY00078</t>
  </si>
  <si>
    <t>user_13101</t>
  </si>
  <si>
    <t>13:07</t>
  </si>
  <si>
    <t>TX10017</t>
  </si>
  <si>
    <t>PLY00030</t>
  </si>
  <si>
    <t>user_50306</t>
  </si>
  <si>
    <t>07:56</t>
  </si>
  <si>
    <t>TX10018</t>
  </si>
  <si>
    <t>PLY00191</t>
  </si>
  <si>
    <t>user_95823</t>
  </si>
  <si>
    <t>17:26</t>
  </si>
  <si>
    <t>Lagos</t>
  </si>
  <si>
    <t>TX10019</t>
  </si>
  <si>
    <t>PLY00026</t>
  </si>
  <si>
    <t>user_44522</t>
  </si>
  <si>
    <t>19:26</t>
  </si>
  <si>
    <t>Cape Town</t>
  </si>
  <si>
    <t>TX10020</t>
  </si>
  <si>
    <t>PLY00056</t>
  </si>
  <si>
    <t>user_78522</t>
  </si>
  <si>
    <t>14:15</t>
  </si>
  <si>
    <t>TX10021</t>
  </si>
  <si>
    <t>PLY00140</t>
  </si>
  <si>
    <t>user_58368</t>
  </si>
  <si>
    <t>11:03</t>
  </si>
  <si>
    <t>TX10022</t>
  </si>
  <si>
    <t>PLY00024</t>
  </si>
  <si>
    <t>user_25014</t>
  </si>
  <si>
    <t>06:41</t>
  </si>
  <si>
    <t>TX10023</t>
  </si>
  <si>
    <t>PLY00063</t>
  </si>
  <si>
    <t>user_23577</t>
  </si>
  <si>
    <t>18:13</t>
  </si>
  <si>
    <t>TX10024</t>
  </si>
  <si>
    <t>07:21</t>
  </si>
  <si>
    <t>TX10025</t>
  </si>
  <si>
    <t>PLY00071</t>
  </si>
  <si>
    <t>user_56898</t>
  </si>
  <si>
    <t>04:34</t>
  </si>
  <si>
    <t>TX10026</t>
  </si>
  <si>
    <t>PLY00034</t>
  </si>
  <si>
    <t>user_36365</t>
  </si>
  <si>
    <t>11:50</t>
  </si>
  <si>
    <t>TX10027</t>
  </si>
  <si>
    <t>PLY00068</t>
  </si>
  <si>
    <t>user_67912</t>
  </si>
  <si>
    <t>04:47</t>
  </si>
  <si>
    <t>TX10028</t>
  </si>
  <si>
    <t>PLY00115</t>
  </si>
  <si>
    <t>user_83975</t>
  </si>
  <si>
    <t>11:32</t>
  </si>
  <si>
    <t>TX10029</t>
  </si>
  <si>
    <t>PLY00012</t>
  </si>
  <si>
    <t>user_37460</t>
  </si>
  <si>
    <t>21:33</t>
  </si>
  <si>
    <t>TX10030</t>
  </si>
  <si>
    <t>PLY00123</t>
  </si>
  <si>
    <t>user_25012</t>
  </si>
  <si>
    <t>13:43</t>
  </si>
  <si>
    <t>TX10031</t>
  </si>
  <si>
    <t>PLY00021</t>
  </si>
  <si>
    <t>user_16175</t>
  </si>
  <si>
    <t>19:09</t>
  </si>
  <si>
    <t>TX10032</t>
  </si>
  <si>
    <t>PLY00141</t>
  </si>
  <si>
    <t>user_82140</t>
  </si>
  <si>
    <t>10:24</t>
  </si>
  <si>
    <t>TX10033</t>
  </si>
  <si>
    <t>PLY00155</t>
  </si>
  <si>
    <t>user_37235</t>
  </si>
  <si>
    <t>03:50</t>
  </si>
  <si>
    <t>TX10034</t>
  </si>
  <si>
    <t>PLY00185</t>
  </si>
  <si>
    <t>user_82340</t>
  </si>
  <si>
    <t>13:28</t>
  </si>
  <si>
    <t>TX10035</t>
  </si>
  <si>
    <t>PLY00103</t>
  </si>
  <si>
    <t>user_72216</t>
  </si>
  <si>
    <t>23:06</t>
  </si>
  <si>
    <t>TX10036</t>
  </si>
  <si>
    <t>PLY00040</t>
  </si>
  <si>
    <t>user_41850</t>
  </si>
  <si>
    <t>15:04</t>
  </si>
  <si>
    <t>TX10037</t>
  </si>
  <si>
    <t>11:51</t>
  </si>
  <si>
    <t>TX10038</t>
  </si>
  <si>
    <t>PLY00085</t>
  </si>
  <si>
    <t>user_97900</t>
  </si>
  <si>
    <t>03:26</t>
  </si>
  <si>
    <t>TX10039</t>
  </si>
  <si>
    <t>09:38</t>
  </si>
  <si>
    <t>TX10040</t>
  </si>
  <si>
    <t>15:14</t>
  </si>
  <si>
    <t>TX10041</t>
  </si>
  <si>
    <t>08:36</t>
  </si>
  <si>
    <t>TX10042</t>
  </si>
  <si>
    <t>PLY00158</t>
  </si>
  <si>
    <t>user_69510</t>
  </si>
  <si>
    <t>20:35</t>
  </si>
  <si>
    <t>TX10043</t>
  </si>
  <si>
    <t>PLY00069</t>
  </si>
  <si>
    <t>user_29536</t>
  </si>
  <si>
    <t>05:17</t>
  </si>
  <si>
    <t>TX10044</t>
  </si>
  <si>
    <t>PLY00002</t>
  </si>
  <si>
    <t>user_81482</t>
  </si>
  <si>
    <t>04:36</t>
  </si>
  <si>
    <t>TX10045</t>
  </si>
  <si>
    <t>PLY00008</t>
  </si>
  <si>
    <t>user_59615</t>
  </si>
  <si>
    <t>23:33</t>
  </si>
  <si>
    <t>TX10046</t>
  </si>
  <si>
    <t>PLY00095</t>
  </si>
  <si>
    <t>user_90120</t>
  </si>
  <si>
    <t>23:20</t>
  </si>
  <si>
    <t>TX10047</t>
  </si>
  <si>
    <t>19:03</t>
  </si>
  <si>
    <t>TX10048</t>
  </si>
  <si>
    <t>PLY00125</t>
  </si>
  <si>
    <t>user_61990</t>
  </si>
  <si>
    <t>14:26</t>
  </si>
  <si>
    <t>TX10049</t>
  </si>
  <si>
    <t>PLY00111</t>
  </si>
  <si>
    <t>user_80545</t>
  </si>
  <si>
    <t>09:43</t>
  </si>
  <si>
    <t>TX10050</t>
  </si>
  <si>
    <t>12:38</t>
  </si>
  <si>
    <t>TX10051</t>
  </si>
  <si>
    <t>PLY00196</t>
  </si>
  <si>
    <t>user_22903</t>
  </si>
  <si>
    <t>09:20</t>
  </si>
  <si>
    <t>Nairobi</t>
  </si>
  <si>
    <t>TX10052</t>
  </si>
  <si>
    <t>17:45</t>
  </si>
  <si>
    <t>TX10053</t>
  </si>
  <si>
    <t>PLY00019</t>
  </si>
  <si>
    <t>user_44438</t>
  </si>
  <si>
    <t>23:02</t>
  </si>
  <si>
    <t>TX10054</t>
  </si>
  <si>
    <t>PLY00148</t>
  </si>
  <si>
    <t>user_47268</t>
  </si>
  <si>
    <t>18:25</t>
  </si>
  <si>
    <t>TX10055</t>
  </si>
  <si>
    <t>05:51</t>
  </si>
  <si>
    <t>TX10056</t>
  </si>
  <si>
    <t>03:15</t>
  </si>
  <si>
    <t>YES</t>
  </si>
  <si>
    <t>TX10057</t>
  </si>
  <si>
    <t>PLY00087</t>
  </si>
  <si>
    <t>user_76469</t>
  </si>
  <si>
    <t>10:49</t>
  </si>
  <si>
    <t>TX10058</t>
  </si>
  <si>
    <t>PLY00131</t>
  </si>
  <si>
    <t>user_45400</t>
  </si>
  <si>
    <t>11:22</t>
  </si>
  <si>
    <t>TX10059</t>
  </si>
  <si>
    <t>PLY00061</t>
  </si>
  <si>
    <t>user_47353</t>
  </si>
  <si>
    <t>04:16</t>
  </si>
  <si>
    <t>TX10060</t>
  </si>
  <si>
    <t>PLY00020</t>
  </si>
  <si>
    <t>user_38746</t>
  </si>
  <si>
    <t>20:31</t>
  </si>
  <si>
    <t>TX10061</t>
  </si>
  <si>
    <t>PLY00175</t>
  </si>
  <si>
    <t>user_27172</t>
  </si>
  <si>
    <t>20:40</t>
  </si>
  <si>
    <t>TX10062</t>
  </si>
  <si>
    <t>PLY00039</t>
  </si>
  <si>
    <t>user_80678</t>
  </si>
  <si>
    <t>02:30</t>
  </si>
  <si>
    <t>TX10063</t>
  </si>
  <si>
    <t>16:04</t>
  </si>
  <si>
    <t>TX10064</t>
  </si>
  <si>
    <t>PLY00166</t>
  </si>
  <si>
    <t>user_98117</t>
  </si>
  <si>
    <t>19:38</t>
  </si>
  <si>
    <t>TX10065</t>
  </si>
  <si>
    <t>18:41</t>
  </si>
  <si>
    <t>TX10066</t>
  </si>
  <si>
    <t>PLY00016</t>
  </si>
  <si>
    <t>user_51347</t>
  </si>
  <si>
    <t>03:51</t>
  </si>
  <si>
    <t>TX10067</t>
  </si>
  <si>
    <t>PLY00130</t>
  </si>
  <si>
    <t>user_70258</t>
  </si>
  <si>
    <t>05:02</t>
  </si>
  <si>
    <t>TX10068</t>
  </si>
  <si>
    <t>PLY00134</t>
  </si>
  <si>
    <t>user_89997</t>
  </si>
  <si>
    <t>05:23</t>
  </si>
  <si>
    <t>TX10069</t>
  </si>
  <si>
    <t>PLY00174</t>
  </si>
  <si>
    <t>user_75338</t>
  </si>
  <si>
    <t>01:50</t>
  </si>
  <si>
    <t>TX10070</t>
  </si>
  <si>
    <t>PLY00143</t>
  </si>
  <si>
    <t>user_34267</t>
  </si>
  <si>
    <t>12:18</t>
  </si>
  <si>
    <t>TX10071</t>
  </si>
  <si>
    <t>PLY00086</t>
  </si>
  <si>
    <t>user_91678</t>
  </si>
  <si>
    <t>18:42</t>
  </si>
  <si>
    <t>TX10072</t>
  </si>
  <si>
    <t>PLY00170</t>
  </si>
  <si>
    <t>user_63955</t>
  </si>
  <si>
    <t>04:38</t>
  </si>
  <si>
    <t>TX10073</t>
  </si>
  <si>
    <t>PLY00165</t>
  </si>
  <si>
    <t>user_98381</t>
  </si>
  <si>
    <t>10:52</t>
  </si>
  <si>
    <t>TX10074</t>
  </si>
  <si>
    <t>PLY00135</t>
  </si>
  <si>
    <t>user_33834</t>
  </si>
  <si>
    <t>20:42</t>
  </si>
  <si>
    <t>TX10075</t>
  </si>
  <si>
    <t>PLY00047</t>
  </si>
  <si>
    <t>user_31798</t>
  </si>
  <si>
    <t>TX10076</t>
  </si>
  <si>
    <t>03:32</t>
  </si>
  <si>
    <t>TX10077</t>
  </si>
  <si>
    <t>19:08</t>
  </si>
  <si>
    <t>TX10078</t>
  </si>
  <si>
    <t>PLY00198</t>
  </si>
  <si>
    <t>user_56984</t>
  </si>
  <si>
    <t>05:46</t>
  </si>
  <si>
    <t>TX10079</t>
  </si>
  <si>
    <t>19:18</t>
  </si>
  <si>
    <t>TX10080</t>
  </si>
  <si>
    <t>PLY00062</t>
  </si>
  <si>
    <t>user_95717</t>
  </si>
  <si>
    <t>15:57</t>
  </si>
  <si>
    <t>TX10081</t>
  </si>
  <si>
    <t>PLY00119</t>
  </si>
  <si>
    <t>user_55870</t>
  </si>
  <si>
    <t>09:49</t>
  </si>
  <si>
    <t>TX10082</t>
  </si>
  <si>
    <t>08:03</t>
  </si>
  <si>
    <t>TX10083</t>
  </si>
  <si>
    <t>PLY00183</t>
  </si>
  <si>
    <t>user_47072</t>
  </si>
  <si>
    <t>03:18</t>
  </si>
  <si>
    <t>TX10084</t>
  </si>
  <si>
    <t>PLY00038</t>
  </si>
  <si>
    <t>user_53309</t>
  </si>
  <si>
    <t>13:05</t>
  </si>
  <si>
    <t>TX10085</t>
  </si>
  <si>
    <t>01:25</t>
  </si>
  <si>
    <t>TX10086</t>
  </si>
  <si>
    <t>22:41</t>
  </si>
  <si>
    <t>TX10087</t>
  </si>
  <si>
    <t>PLY00179</t>
  </si>
  <si>
    <t>user_48254</t>
  </si>
  <si>
    <t>04:48</t>
  </si>
  <si>
    <t>TX10088</t>
  </si>
  <si>
    <t>PLY00005</t>
  </si>
  <si>
    <t>user_30926</t>
  </si>
  <si>
    <t>06:53</t>
  </si>
  <si>
    <t>TX10089</t>
  </si>
  <si>
    <t>PLY00109</t>
  </si>
  <si>
    <t>user_12560</t>
  </si>
  <si>
    <t>09:15</t>
  </si>
  <si>
    <t>TX10090</t>
  </si>
  <si>
    <t>PLY00160</t>
  </si>
  <si>
    <t>user_39466</t>
  </si>
  <si>
    <t>02:07</t>
  </si>
  <si>
    <t>TX10091</t>
  </si>
  <si>
    <t>PLY00162</t>
  </si>
  <si>
    <t>user_47828</t>
  </si>
  <si>
    <t>18:15</t>
  </si>
  <si>
    <t>TX10092</t>
  </si>
  <si>
    <t>PLY00091</t>
  </si>
  <si>
    <t>user_52237</t>
  </si>
  <si>
    <t>18:26</t>
  </si>
  <si>
    <t>TX10093</t>
  </si>
  <si>
    <t>PLY00018</t>
  </si>
  <si>
    <t>user_70142</t>
  </si>
  <si>
    <t>17:32</t>
  </si>
  <si>
    <t>TX10094</t>
  </si>
  <si>
    <t>PLY00121</t>
  </si>
  <si>
    <t>user_41266</t>
  </si>
  <si>
    <t>20:24</t>
  </si>
  <si>
    <t>TX10095</t>
  </si>
  <si>
    <t>07:46</t>
  </si>
  <si>
    <t>TX10096</t>
  </si>
  <si>
    <t>PLY00194</t>
  </si>
  <si>
    <t>user_73956</t>
  </si>
  <si>
    <t>04:02</t>
  </si>
  <si>
    <t>TX10097</t>
  </si>
  <si>
    <t>PLY00200</t>
  </si>
  <si>
    <t>user_91226</t>
  </si>
  <si>
    <t>14:44</t>
  </si>
  <si>
    <t>TX10098</t>
  </si>
  <si>
    <t>PLY00184</t>
  </si>
  <si>
    <t>user_74178</t>
  </si>
  <si>
    <t>TX10099</t>
  </si>
  <si>
    <t>PLY00081</t>
  </si>
  <si>
    <t>user_86099</t>
  </si>
  <si>
    <t>16:25</t>
  </si>
  <si>
    <t>TX10100</t>
  </si>
  <si>
    <t>06:18</t>
  </si>
  <si>
    <t>TX10101</t>
  </si>
  <si>
    <t>TX10102</t>
  </si>
  <si>
    <t>05:31</t>
  </si>
  <si>
    <t>TX10103</t>
  </si>
  <si>
    <t>PLY00187</t>
  </si>
  <si>
    <t>user_51704</t>
  </si>
  <si>
    <t>02:27</t>
  </si>
  <si>
    <t>TX10104</t>
  </si>
  <si>
    <t>PLY00083</t>
  </si>
  <si>
    <t>user_25157</t>
  </si>
  <si>
    <t>02:20</t>
  </si>
  <si>
    <t>TX10105</t>
  </si>
  <si>
    <t>PLY00110</t>
  </si>
  <si>
    <t>user_56105</t>
  </si>
  <si>
    <t>22:28</t>
  </si>
  <si>
    <t>TX10106</t>
  </si>
  <si>
    <t>08:40</t>
  </si>
  <si>
    <t>TX10107</t>
  </si>
  <si>
    <t>PLY00164</t>
  </si>
  <si>
    <t>user_66626</t>
  </si>
  <si>
    <t>TX10108</t>
  </si>
  <si>
    <t>TX10109</t>
  </si>
  <si>
    <t>PLY00093</t>
  </si>
  <si>
    <t>user_53933</t>
  </si>
  <si>
    <t>18:02</t>
  </si>
  <si>
    <t>TX10110</t>
  </si>
  <si>
    <t>PLY00114</t>
  </si>
  <si>
    <t>user_26728</t>
  </si>
  <si>
    <t>02:36</t>
  </si>
  <si>
    <t>TX10111</t>
  </si>
  <si>
    <t>PLY00072</t>
  </si>
  <si>
    <t>user_83385</t>
  </si>
  <si>
    <t>03:01</t>
  </si>
  <si>
    <t>TX10112</t>
  </si>
  <si>
    <t>PLY00031</t>
  </si>
  <si>
    <t>user_21226</t>
  </si>
  <si>
    <t>08:45</t>
  </si>
  <si>
    <t>TX10113</t>
  </si>
  <si>
    <t>PLY00126</t>
  </si>
  <si>
    <t>user_41830</t>
  </si>
  <si>
    <t>03:08</t>
  </si>
  <si>
    <t>TX10114</t>
  </si>
  <si>
    <t>21:54</t>
  </si>
  <si>
    <t>TX10115</t>
  </si>
  <si>
    <t>PLY00041</t>
  </si>
  <si>
    <t>user_96374</t>
  </si>
  <si>
    <t>22:59</t>
  </si>
  <si>
    <t>TX10116</t>
  </si>
  <si>
    <t>PLY00058</t>
  </si>
  <si>
    <t>user_51441</t>
  </si>
  <si>
    <t>06:50</t>
  </si>
  <si>
    <t>TX10117</t>
  </si>
  <si>
    <t>PLY00142</t>
  </si>
  <si>
    <t>user_40217</t>
  </si>
  <si>
    <t>11:29</t>
  </si>
  <si>
    <t>TX10118</t>
  </si>
  <si>
    <t>PLY00017</t>
  </si>
  <si>
    <t>user_51245</t>
  </si>
  <si>
    <t>12:45</t>
  </si>
  <si>
    <t>TX10119</t>
  </si>
  <si>
    <t>04:20</t>
  </si>
  <si>
    <t>TX10120</t>
  </si>
  <si>
    <t>PLY00089</t>
  </si>
  <si>
    <t>user_32810</t>
  </si>
  <si>
    <t>17:40</t>
  </si>
  <si>
    <t>TX10121</t>
  </si>
  <si>
    <t>03:33</t>
  </si>
  <si>
    <t>TX10122</t>
  </si>
  <si>
    <t>16:57</t>
  </si>
  <si>
    <t>TX10123</t>
  </si>
  <si>
    <t>04:40</t>
  </si>
  <si>
    <t>TX10124</t>
  </si>
  <si>
    <t>18:09</t>
  </si>
  <si>
    <t>TX10125</t>
  </si>
  <si>
    <t>20:49</t>
  </si>
  <si>
    <t>TX10126</t>
  </si>
  <si>
    <t>PLY00107</t>
  </si>
  <si>
    <t>user_18418</t>
  </si>
  <si>
    <t>20:01</t>
  </si>
  <si>
    <t>TX10127</t>
  </si>
  <si>
    <t>07:51</t>
  </si>
  <si>
    <t>TX10128</t>
  </si>
  <si>
    <t>PLY00177</t>
  </si>
  <si>
    <t>user_50730</t>
  </si>
  <si>
    <t>05:28</t>
  </si>
  <si>
    <t>TX10129</t>
  </si>
  <si>
    <t>PLY00037</t>
  </si>
  <si>
    <t>user_19305</t>
  </si>
  <si>
    <t>22:20</t>
  </si>
  <si>
    <t>TX10130</t>
  </si>
  <si>
    <t>PLY00195</t>
  </si>
  <si>
    <t>user_99705</t>
  </si>
  <si>
    <t>16:35</t>
  </si>
  <si>
    <t>TX10131</t>
  </si>
  <si>
    <t>PLY00116</t>
  </si>
  <si>
    <t>user_33819</t>
  </si>
  <si>
    <t>04:06</t>
  </si>
  <si>
    <t>TX10132</t>
  </si>
  <si>
    <t>PLY00108</t>
  </si>
  <si>
    <t>user_37110</t>
  </si>
  <si>
    <t>05:52</t>
  </si>
  <si>
    <t>TX10133</t>
  </si>
  <si>
    <t>15:32</t>
  </si>
  <si>
    <t>TX10134</t>
  </si>
  <si>
    <t>16:29</t>
  </si>
  <si>
    <t>TX10135</t>
  </si>
  <si>
    <t>15:38</t>
  </si>
  <si>
    <t>TX10136</t>
  </si>
  <si>
    <t>PLY00138</t>
  </si>
  <si>
    <t>user_72402</t>
  </si>
  <si>
    <t>03:27</t>
  </si>
  <si>
    <t>TX10137</t>
  </si>
  <si>
    <t>PLY00094</t>
  </si>
  <si>
    <t>user_39444</t>
  </si>
  <si>
    <t>12:03</t>
  </si>
  <si>
    <t>TX10138</t>
  </si>
  <si>
    <t>16:28</t>
  </si>
  <si>
    <t>TX10139</t>
  </si>
  <si>
    <t>PLY00157</t>
  </si>
  <si>
    <t>user_87832</t>
  </si>
  <si>
    <t>TX10140</t>
  </si>
  <si>
    <t>04:12</t>
  </si>
  <si>
    <t>TX10141</t>
  </si>
  <si>
    <t>PLY00010</t>
  </si>
  <si>
    <t>user_47930</t>
  </si>
  <si>
    <t>22:21</t>
  </si>
  <si>
    <t>TX10142</t>
  </si>
  <si>
    <t>10:59</t>
  </si>
  <si>
    <t>TX10143</t>
  </si>
  <si>
    <t>10:32</t>
  </si>
  <si>
    <t>TX10144</t>
  </si>
  <si>
    <t>00:23</t>
  </si>
  <si>
    <t>TX10145</t>
  </si>
  <si>
    <t>PLY00079</t>
  </si>
  <si>
    <t>user_46585</t>
  </si>
  <si>
    <t>23:55</t>
  </si>
  <si>
    <t>TX10146</t>
  </si>
  <si>
    <t>PLY00168</t>
  </si>
  <si>
    <t>user_67132</t>
  </si>
  <si>
    <t>18:36</t>
  </si>
  <si>
    <t>TX10147</t>
  </si>
  <si>
    <t>23:39</t>
  </si>
  <si>
    <t>TX10148</t>
  </si>
  <si>
    <t>18:44</t>
  </si>
  <si>
    <t>TX10149</t>
  </si>
  <si>
    <t>22:13</t>
  </si>
  <si>
    <t>TX10150</t>
  </si>
  <si>
    <t>22:08</t>
  </si>
  <si>
    <t>TX10151</t>
  </si>
  <si>
    <t>10:11</t>
  </si>
  <si>
    <t>TX10152</t>
  </si>
  <si>
    <t>23:43</t>
  </si>
  <si>
    <t>TX10153</t>
  </si>
  <si>
    <t>PLY00050</t>
  </si>
  <si>
    <t>user_96752</t>
  </si>
  <si>
    <t>08:35</t>
  </si>
  <si>
    <t>TX10154</t>
  </si>
  <si>
    <t>PLY00181</t>
  </si>
  <si>
    <t>user_76616</t>
  </si>
  <si>
    <t>22:45</t>
  </si>
  <si>
    <t>TX10155</t>
  </si>
  <si>
    <t>03:36</t>
  </si>
  <si>
    <t>TX10156</t>
  </si>
  <si>
    <t>04:18</t>
  </si>
  <si>
    <t>TX10157</t>
  </si>
  <si>
    <t>08:47</t>
  </si>
  <si>
    <t>TX10158</t>
  </si>
  <si>
    <t>08:08</t>
  </si>
  <si>
    <t>TX10159</t>
  </si>
  <si>
    <t>16:14</t>
  </si>
  <si>
    <t>TX10160</t>
  </si>
  <si>
    <t>03:43</t>
  </si>
  <si>
    <t>TX10161</t>
  </si>
  <si>
    <t>PLY00105</t>
  </si>
  <si>
    <t>user_47450</t>
  </si>
  <si>
    <t>15:30</t>
  </si>
  <si>
    <t>TX10162</t>
  </si>
  <si>
    <t>PLY00074</t>
  </si>
  <si>
    <t>user_13248</t>
  </si>
  <si>
    <t>01:58</t>
  </si>
  <si>
    <t>TX10163</t>
  </si>
  <si>
    <t>PLY00190</t>
  </si>
  <si>
    <t>user_23069</t>
  </si>
  <si>
    <t>TX10164</t>
  </si>
  <si>
    <t>15:11</t>
  </si>
  <si>
    <t>TX10165</t>
  </si>
  <si>
    <t>PLY00003</t>
  </si>
  <si>
    <t>user_40495</t>
  </si>
  <si>
    <t>18:38</t>
  </si>
  <si>
    <t>TX10166</t>
  </si>
  <si>
    <t>16:31</t>
  </si>
  <si>
    <t>TX10167</t>
  </si>
  <si>
    <t>PLY00070</t>
  </si>
  <si>
    <t>user_66333</t>
  </si>
  <si>
    <t>03:21</t>
  </si>
  <si>
    <t>TX10168</t>
  </si>
  <si>
    <t>PLY00048</t>
  </si>
  <si>
    <t>user_31579</t>
  </si>
  <si>
    <t>23:21</t>
  </si>
  <si>
    <t>TX10169</t>
  </si>
  <si>
    <t>PLY00045</t>
  </si>
  <si>
    <t>user_68082</t>
  </si>
  <si>
    <t>20:57</t>
  </si>
  <si>
    <t>TX10170</t>
  </si>
  <si>
    <t>03:11</t>
  </si>
  <si>
    <t>TX10171</t>
  </si>
  <si>
    <t>07:28</t>
  </si>
  <si>
    <t>TX10172</t>
  </si>
  <si>
    <t>22:15</t>
  </si>
  <si>
    <t>TX10173</t>
  </si>
  <si>
    <t>PLY00104</t>
  </si>
  <si>
    <t>user_78327</t>
  </si>
  <si>
    <t>16:59</t>
  </si>
  <si>
    <t>TX10174</t>
  </si>
  <si>
    <t>09:23</t>
  </si>
  <si>
    <t>TX10175</t>
  </si>
  <si>
    <t>23:38</t>
  </si>
  <si>
    <t>TX10176</t>
  </si>
  <si>
    <t>PLY00171</t>
  </si>
  <si>
    <t>user_82102</t>
  </si>
  <si>
    <t>06:48</t>
  </si>
  <si>
    <t>TX10177</t>
  </si>
  <si>
    <t>16:45</t>
  </si>
  <si>
    <t>TX10178</t>
  </si>
  <si>
    <t>06:36</t>
  </si>
  <si>
    <t>TX10179</t>
  </si>
  <si>
    <t>21:13</t>
  </si>
  <si>
    <t>TX10180</t>
  </si>
  <si>
    <t>04:32</t>
  </si>
  <si>
    <t>TX10181</t>
  </si>
  <si>
    <t>08:52</t>
  </si>
  <si>
    <t>TX10182</t>
  </si>
  <si>
    <t>22:04</t>
  </si>
  <si>
    <t>TX10183</t>
  </si>
  <si>
    <t>PLY00009</t>
  </si>
  <si>
    <t>user_85674</t>
  </si>
  <si>
    <t>TX10184</t>
  </si>
  <si>
    <t>12:28</t>
  </si>
  <si>
    <t>TX10185</t>
  </si>
  <si>
    <t>17:08</t>
  </si>
  <si>
    <t>TX10186</t>
  </si>
  <si>
    <t>PLY00101</t>
  </si>
  <si>
    <t>user_88047</t>
  </si>
  <si>
    <t>04:46</t>
  </si>
  <si>
    <t>TX10187</t>
  </si>
  <si>
    <t>21:46</t>
  </si>
  <si>
    <t>TX10188</t>
  </si>
  <si>
    <t>PLY00064</t>
  </si>
  <si>
    <t>user_82512</t>
  </si>
  <si>
    <t>11:09</t>
  </si>
  <si>
    <t>TX10189</t>
  </si>
  <si>
    <t>21:26</t>
  </si>
  <si>
    <t>TX10190</t>
  </si>
  <si>
    <t>PLY00053</t>
  </si>
  <si>
    <t>user_76562</t>
  </si>
  <si>
    <t>03:38</t>
  </si>
  <si>
    <t>TX10191</t>
  </si>
  <si>
    <t>TX10192</t>
  </si>
  <si>
    <t>PLY00036</t>
  </si>
  <si>
    <t>user_54313</t>
  </si>
  <si>
    <t>09:14</t>
  </si>
  <si>
    <t>TX10193</t>
  </si>
  <si>
    <t>PLY00154</t>
  </si>
  <si>
    <t>user_50026</t>
  </si>
  <si>
    <t>21:52</t>
  </si>
  <si>
    <t>TX10194</t>
  </si>
  <si>
    <t>13:19</t>
  </si>
  <si>
    <t>TX10195</t>
  </si>
  <si>
    <t>21:27</t>
  </si>
  <si>
    <t>TX10196</t>
  </si>
  <si>
    <t>PLY00172</t>
  </si>
  <si>
    <t>user_62976</t>
  </si>
  <si>
    <t>16:20</t>
  </si>
  <si>
    <t>TX10197</t>
  </si>
  <si>
    <t>17:30</t>
  </si>
  <si>
    <t>TX10198</t>
  </si>
  <si>
    <t>14:58</t>
  </si>
  <si>
    <t>TX10199</t>
  </si>
  <si>
    <t>PLY00136</t>
  </si>
  <si>
    <t>user_88139</t>
  </si>
  <si>
    <t>12:15</t>
  </si>
  <si>
    <t>TX10200</t>
  </si>
  <si>
    <t>17:46</t>
  </si>
  <si>
    <t>TX10201</t>
  </si>
  <si>
    <t>01:55</t>
  </si>
  <si>
    <t>TX10202</t>
  </si>
  <si>
    <t>06:30</t>
  </si>
  <si>
    <t>TX10203</t>
  </si>
  <si>
    <t>PLY00055</t>
  </si>
  <si>
    <t>user_87924</t>
  </si>
  <si>
    <t>23:07</t>
  </si>
  <si>
    <t>TX10204</t>
  </si>
  <si>
    <t>06:25</t>
  </si>
  <si>
    <t>TX10205</t>
  </si>
  <si>
    <t>PLY00098</t>
  </si>
  <si>
    <t>user_23970</t>
  </si>
  <si>
    <t>17:41</t>
  </si>
  <si>
    <t>TX10206</t>
  </si>
  <si>
    <t>23:30</t>
  </si>
  <si>
    <t>TX10207</t>
  </si>
  <si>
    <t>01:36</t>
  </si>
  <si>
    <t>TX10208</t>
  </si>
  <si>
    <t>18:46</t>
  </si>
  <si>
    <t>TX10209</t>
  </si>
  <si>
    <t>07:31</t>
  </si>
  <si>
    <t>TX10210</t>
  </si>
  <si>
    <t>15:46</t>
  </si>
  <si>
    <t>TX10211</t>
  </si>
  <si>
    <t>TX10212</t>
  </si>
  <si>
    <t>01:53</t>
  </si>
  <si>
    <t>TX10213</t>
  </si>
  <si>
    <t>13:08</t>
  </si>
  <si>
    <t>TX10214</t>
  </si>
  <si>
    <t>TX10215</t>
  </si>
  <si>
    <t>15:01</t>
  </si>
  <si>
    <t>TX10216</t>
  </si>
  <si>
    <t>08:34</t>
  </si>
  <si>
    <t>TX10217</t>
  </si>
  <si>
    <t>PLY00173</t>
  </si>
  <si>
    <t>user_70552</t>
  </si>
  <si>
    <t>05:06</t>
  </si>
  <si>
    <t>TX10218</t>
  </si>
  <si>
    <t>PLY00159</t>
  </si>
  <si>
    <t>user_87304</t>
  </si>
  <si>
    <t>TX10219</t>
  </si>
  <si>
    <t>TX10220</t>
  </si>
  <si>
    <t>01:05</t>
  </si>
  <si>
    <t>TX10221</t>
  </si>
  <si>
    <t>22:10</t>
  </si>
  <si>
    <t>TX10222</t>
  </si>
  <si>
    <t>16:58</t>
  </si>
  <si>
    <t>TX10223</t>
  </si>
  <si>
    <t>02:43</t>
  </si>
  <si>
    <t>TX10224</t>
  </si>
  <si>
    <t>10:01</t>
  </si>
  <si>
    <t>TX10225</t>
  </si>
  <si>
    <t>PLY00102</t>
  </si>
  <si>
    <t>user_76162</t>
  </si>
  <si>
    <t>09:10</t>
  </si>
  <si>
    <t>TX10226</t>
  </si>
  <si>
    <t>TX10227</t>
  </si>
  <si>
    <t>23:22</t>
  </si>
  <si>
    <t>TX10228</t>
  </si>
  <si>
    <t>PLY00088</t>
  </si>
  <si>
    <t>user_82667</t>
  </si>
  <si>
    <t>TX10229</t>
  </si>
  <si>
    <t>14:31</t>
  </si>
  <si>
    <t>TX10230</t>
  </si>
  <si>
    <t>TX10231</t>
  </si>
  <si>
    <t>02:17</t>
  </si>
  <si>
    <t>TX10232</t>
  </si>
  <si>
    <t>10:23</t>
  </si>
  <si>
    <t>TX10233</t>
  </si>
  <si>
    <t>08:06</t>
  </si>
  <si>
    <t>TX10234</t>
  </si>
  <si>
    <t>13:06</t>
  </si>
  <si>
    <t>TX10235</t>
  </si>
  <si>
    <t>10:55</t>
  </si>
  <si>
    <t>TX10236</t>
  </si>
  <si>
    <t>07:36</t>
  </si>
  <si>
    <t>TX10237</t>
  </si>
  <si>
    <t>08:31</t>
  </si>
  <si>
    <t>TX10238</t>
  </si>
  <si>
    <t>02:23</t>
  </si>
  <si>
    <t>TX10239</t>
  </si>
  <si>
    <t>PLY00153</t>
  </si>
  <si>
    <t>user_59856</t>
  </si>
  <si>
    <t>06:29</t>
  </si>
  <si>
    <t>TX10240</t>
  </si>
  <si>
    <t>10:28</t>
  </si>
  <si>
    <t>TX10241</t>
  </si>
  <si>
    <t>TX10242</t>
  </si>
  <si>
    <t>PLY00046</t>
  </si>
  <si>
    <t>user_80855</t>
  </si>
  <si>
    <t>10:18</t>
  </si>
  <si>
    <t>TX10243</t>
  </si>
  <si>
    <t>TX10244</t>
  </si>
  <si>
    <t>PLY00152</t>
  </si>
  <si>
    <t>user_64548</t>
  </si>
  <si>
    <t>05:43</t>
  </si>
  <si>
    <t>TX10245</t>
  </si>
  <si>
    <t>PLY00182</t>
  </si>
  <si>
    <t>user_64387</t>
  </si>
  <si>
    <t>14:51</t>
  </si>
  <si>
    <t>TX10246</t>
  </si>
  <si>
    <t>TX10247</t>
  </si>
  <si>
    <t>12:04</t>
  </si>
  <si>
    <t>TX10248</t>
  </si>
  <si>
    <t>PLY00137</t>
  </si>
  <si>
    <t>user_21221</t>
  </si>
  <si>
    <t>22:26</t>
  </si>
  <si>
    <t>TX10249</t>
  </si>
  <si>
    <t>20:58</t>
  </si>
  <si>
    <t>TX10250</t>
  </si>
  <si>
    <t>20:39</t>
  </si>
  <si>
    <t>TX10251</t>
  </si>
  <si>
    <t>10:50</t>
  </si>
  <si>
    <t>TX10252</t>
  </si>
  <si>
    <t>TX10253</t>
  </si>
  <si>
    <t>21:37</t>
  </si>
  <si>
    <t>TX10254</t>
  </si>
  <si>
    <t>PLY00027</t>
  </si>
  <si>
    <t>user_91959</t>
  </si>
  <si>
    <t>13:58</t>
  </si>
  <si>
    <t>TX10255</t>
  </si>
  <si>
    <t>PLY00090</t>
  </si>
  <si>
    <t>user_49829</t>
  </si>
  <si>
    <t>10:29</t>
  </si>
  <si>
    <t>TX10256</t>
  </si>
  <si>
    <t>PLY00025</t>
  </si>
  <si>
    <t>user_54587</t>
  </si>
  <si>
    <t>23:44</t>
  </si>
  <si>
    <t>TX10257</t>
  </si>
  <si>
    <t>10:41</t>
  </si>
  <si>
    <t>TX10258</t>
  </si>
  <si>
    <t>PLY00133</t>
  </si>
  <si>
    <t>user_21359</t>
  </si>
  <si>
    <t>17:10</t>
  </si>
  <si>
    <t>TX10259</t>
  </si>
  <si>
    <t>05:11</t>
  </si>
  <si>
    <t>TX10260</t>
  </si>
  <si>
    <t>14:37</t>
  </si>
  <si>
    <t>TX10261</t>
  </si>
  <si>
    <t>22:51</t>
  </si>
  <si>
    <t>TX10262</t>
  </si>
  <si>
    <t>10:12</t>
  </si>
  <si>
    <t>TX10263</t>
  </si>
  <si>
    <t>10:38</t>
  </si>
  <si>
    <t>TX10264</t>
  </si>
  <si>
    <t>19:11</t>
  </si>
  <si>
    <t>TX10265</t>
  </si>
  <si>
    <t>21:08</t>
  </si>
  <si>
    <t>TX10266</t>
  </si>
  <si>
    <t>PLY00096</t>
  </si>
  <si>
    <t>user_85454</t>
  </si>
  <si>
    <t>TX10267</t>
  </si>
  <si>
    <t>15:40</t>
  </si>
  <si>
    <t>TX10268</t>
  </si>
  <si>
    <t>PLY00043</t>
  </si>
  <si>
    <t>user_54473</t>
  </si>
  <si>
    <t>09:08</t>
  </si>
  <si>
    <t>TX10269</t>
  </si>
  <si>
    <t>PLY00092</t>
  </si>
  <si>
    <t>user_32241</t>
  </si>
  <si>
    <t>15:08</t>
  </si>
  <si>
    <t>TX10270</t>
  </si>
  <si>
    <t>TX10271</t>
  </si>
  <si>
    <t>18:01</t>
  </si>
  <si>
    <t>TX10272</t>
  </si>
  <si>
    <t>TX10273</t>
  </si>
  <si>
    <t>TX10274</t>
  </si>
  <si>
    <t>PLY00139</t>
  </si>
  <si>
    <t>user_48566</t>
  </si>
  <si>
    <t>01:48</t>
  </si>
  <si>
    <t>TX10275</t>
  </si>
  <si>
    <t>PLY00189</t>
  </si>
  <si>
    <t>user_26547</t>
  </si>
  <si>
    <t>20:48</t>
  </si>
  <si>
    <t>TX10276</t>
  </si>
  <si>
    <t>02:28</t>
  </si>
  <si>
    <t>TX10277</t>
  </si>
  <si>
    <t>PLY00054</t>
  </si>
  <si>
    <t>user_40828</t>
  </si>
  <si>
    <t>23:37</t>
  </si>
  <si>
    <t>TX10278</t>
  </si>
  <si>
    <t>TX10279</t>
  </si>
  <si>
    <t>PLY00146</t>
  </si>
  <si>
    <t>user_45954</t>
  </si>
  <si>
    <t>17:17</t>
  </si>
  <si>
    <t>TX10280</t>
  </si>
  <si>
    <t>PLY00075</t>
  </si>
  <si>
    <t>user_97806</t>
  </si>
  <si>
    <t>08:54</t>
  </si>
  <si>
    <t>TX10281</t>
  </si>
  <si>
    <t>PLY00035</t>
  </si>
  <si>
    <t>user_67422</t>
  </si>
  <si>
    <t>TX10282</t>
  </si>
  <si>
    <t>PLY00180</t>
  </si>
  <si>
    <t>user_41946</t>
  </si>
  <si>
    <t>07:09</t>
  </si>
  <si>
    <t>TX10283</t>
  </si>
  <si>
    <t>TX10284</t>
  </si>
  <si>
    <t>02:25</t>
  </si>
  <si>
    <t>TX10285</t>
  </si>
  <si>
    <t>18:00</t>
  </si>
  <si>
    <t>TX10286</t>
  </si>
  <si>
    <t>PLY00118</t>
  </si>
  <si>
    <t>user_43065</t>
  </si>
  <si>
    <t>21:44</t>
  </si>
  <si>
    <t>TX10287</t>
  </si>
  <si>
    <t>06:31</t>
  </si>
  <si>
    <t>TX10288</t>
  </si>
  <si>
    <t>18:54</t>
  </si>
  <si>
    <t>TX10289</t>
  </si>
  <si>
    <t>20:50</t>
  </si>
  <si>
    <t>TX10290</t>
  </si>
  <si>
    <t>00:27</t>
  </si>
  <si>
    <t>TX10291</t>
  </si>
  <si>
    <t>11:16</t>
  </si>
  <si>
    <t>TX10292</t>
  </si>
  <si>
    <t>PLY00014</t>
  </si>
  <si>
    <t>user_59735</t>
  </si>
  <si>
    <t>20:19</t>
  </si>
  <si>
    <t>TX10293</t>
  </si>
  <si>
    <t>03:00</t>
  </si>
  <si>
    <t>TX10294</t>
  </si>
  <si>
    <t>14:00</t>
  </si>
  <si>
    <t>TX10295</t>
  </si>
  <si>
    <t>TX10296</t>
  </si>
  <si>
    <t>12:49</t>
  </si>
  <si>
    <t>TX10297</t>
  </si>
  <si>
    <t>16:36</t>
  </si>
  <si>
    <t>TX10298</t>
  </si>
  <si>
    <t>20:47</t>
  </si>
  <si>
    <t>TX10299</t>
  </si>
  <si>
    <t>TX10300</t>
  </si>
  <si>
    <t>04:15</t>
  </si>
  <si>
    <t>TX10301</t>
  </si>
  <si>
    <t>TX10302</t>
  </si>
  <si>
    <t>16:38</t>
  </si>
  <si>
    <t>TX10303</t>
  </si>
  <si>
    <t>TX10304</t>
  </si>
  <si>
    <t>TX10305</t>
  </si>
  <si>
    <t>17:43</t>
  </si>
  <si>
    <t>TX10306</t>
  </si>
  <si>
    <t>02:00</t>
  </si>
  <si>
    <t>TX10307</t>
  </si>
  <si>
    <t>20:45</t>
  </si>
  <si>
    <t>TX10308</t>
  </si>
  <si>
    <t>PLY00022</t>
  </si>
  <si>
    <t>user_65333</t>
  </si>
  <si>
    <t>17:34</t>
  </si>
  <si>
    <t>TX10309</t>
  </si>
  <si>
    <t>TX10310</t>
  </si>
  <si>
    <t>02:19</t>
  </si>
  <si>
    <t>TX10311</t>
  </si>
  <si>
    <t>02:59</t>
  </si>
  <si>
    <t>TX10312</t>
  </si>
  <si>
    <t>PLY00169</t>
  </si>
  <si>
    <t>user_63523</t>
  </si>
  <si>
    <t>05:07</t>
  </si>
  <si>
    <t>TX10313</t>
  </si>
  <si>
    <t>PLY00128</t>
  </si>
  <si>
    <t>user_66148</t>
  </si>
  <si>
    <t>16:33</t>
  </si>
  <si>
    <t>TX10314</t>
  </si>
  <si>
    <t>PLY00033</t>
  </si>
  <si>
    <t>user_79163</t>
  </si>
  <si>
    <t>08:46</t>
  </si>
  <si>
    <t>TX10315</t>
  </si>
  <si>
    <t>TX10316</t>
  </si>
  <si>
    <t>16:23</t>
  </si>
  <si>
    <t>TX10317</t>
  </si>
  <si>
    <t>03:57</t>
  </si>
  <si>
    <t>TX10318</t>
  </si>
  <si>
    <t>01:54</t>
  </si>
  <si>
    <t>TX10319</t>
  </si>
  <si>
    <t>05:59</t>
  </si>
  <si>
    <t>TX10320</t>
  </si>
  <si>
    <t>10:15</t>
  </si>
  <si>
    <t>TX10321</t>
  </si>
  <si>
    <t>PLY00147</t>
  </si>
  <si>
    <t>user_93606</t>
  </si>
  <si>
    <t>TX10322</t>
  </si>
  <si>
    <t>02:56</t>
  </si>
  <si>
    <t>TX10323</t>
  </si>
  <si>
    <t>17:29</t>
  </si>
  <si>
    <t>TX10324</t>
  </si>
  <si>
    <t>TX10325</t>
  </si>
  <si>
    <t>PLY00188</t>
  </si>
  <si>
    <t>user_96991</t>
  </si>
  <si>
    <t>TX10326</t>
  </si>
  <si>
    <t>22:56</t>
  </si>
  <si>
    <t>TX10327</t>
  </si>
  <si>
    <t>PLY00097</t>
  </si>
  <si>
    <t>user_29342</t>
  </si>
  <si>
    <t>23:19</t>
  </si>
  <si>
    <t>TX10328</t>
  </si>
  <si>
    <t>04:45</t>
  </si>
  <si>
    <t>TX10329</t>
  </si>
  <si>
    <t>PLY00106</t>
  </si>
  <si>
    <t>user_28136</t>
  </si>
  <si>
    <t>TX10330</t>
  </si>
  <si>
    <t>TX10331</t>
  </si>
  <si>
    <t>TX10332</t>
  </si>
  <si>
    <t>14:17</t>
  </si>
  <si>
    <t>TX10333</t>
  </si>
  <si>
    <t>PLY00028</t>
  </si>
  <si>
    <t>user_59009</t>
  </si>
  <si>
    <t>03:10</t>
  </si>
  <si>
    <t>TX10334</t>
  </si>
  <si>
    <t>06:28</t>
  </si>
  <si>
    <t>TX10335</t>
  </si>
  <si>
    <t>21:19</t>
  </si>
  <si>
    <t>TX10336</t>
  </si>
  <si>
    <t>02:45</t>
  </si>
  <si>
    <t>TX10337</t>
  </si>
  <si>
    <t>TX10338</t>
  </si>
  <si>
    <t>17:15</t>
  </si>
  <si>
    <t>TX10339</t>
  </si>
  <si>
    <t>PLY00032</t>
  </si>
  <si>
    <t>user_26483</t>
  </si>
  <si>
    <t>TX10340</t>
  </si>
  <si>
    <t>20:41</t>
  </si>
  <si>
    <t>TX10341</t>
  </si>
  <si>
    <t>06:57</t>
  </si>
  <si>
    <t>TX10342</t>
  </si>
  <si>
    <t>14:03</t>
  </si>
  <si>
    <t>TX10343</t>
  </si>
  <si>
    <t>00:24</t>
  </si>
  <si>
    <t>TX10344</t>
  </si>
  <si>
    <t>14:56</t>
  </si>
  <si>
    <t>TX10345</t>
  </si>
  <si>
    <t>15:26</t>
  </si>
  <si>
    <t>TX10346</t>
  </si>
  <si>
    <t>13:12</t>
  </si>
  <si>
    <t>TX10347</t>
  </si>
  <si>
    <t>22:22</t>
  </si>
  <si>
    <t>TX10348</t>
  </si>
  <si>
    <t>12:17</t>
  </si>
  <si>
    <t>TX10349</t>
  </si>
  <si>
    <t>01:51</t>
  </si>
  <si>
    <t>TX10350</t>
  </si>
  <si>
    <t>TX10351</t>
  </si>
  <si>
    <t>TX10352</t>
  </si>
  <si>
    <t>18:20</t>
  </si>
  <si>
    <t>TX10353</t>
  </si>
  <si>
    <t>11:36</t>
  </si>
  <si>
    <t>TX10354</t>
  </si>
  <si>
    <t>TX10355</t>
  </si>
  <si>
    <t>15:00</t>
  </si>
  <si>
    <t>TX10356</t>
  </si>
  <si>
    <t>05:58</t>
  </si>
  <si>
    <t>TX10357</t>
  </si>
  <si>
    <t>22:58</t>
  </si>
  <si>
    <t>TX10358</t>
  </si>
  <si>
    <t>22:42</t>
  </si>
  <si>
    <t>TX10359</t>
  </si>
  <si>
    <t>23:27</t>
  </si>
  <si>
    <t>TX10360</t>
  </si>
  <si>
    <t>17:44</t>
  </si>
  <si>
    <t>TX10361</t>
  </si>
  <si>
    <t>05:24</t>
  </si>
  <si>
    <t>TX10362</t>
  </si>
  <si>
    <t>22:36</t>
  </si>
  <si>
    <t>TX10363</t>
  </si>
  <si>
    <t>10:58</t>
  </si>
  <si>
    <t>TX10364</t>
  </si>
  <si>
    <t>04:21</t>
  </si>
  <si>
    <t>TX10365</t>
  </si>
  <si>
    <t>PLY00163</t>
  </si>
  <si>
    <t>user_45683</t>
  </si>
  <si>
    <t>TX10366</t>
  </si>
  <si>
    <t>07:44</t>
  </si>
  <si>
    <t>TX10367</t>
  </si>
  <si>
    <t>PLY00001</t>
  </si>
  <si>
    <t>user_46048</t>
  </si>
  <si>
    <t>TX10368</t>
  </si>
  <si>
    <t>17:24</t>
  </si>
  <si>
    <t>TX10369</t>
  </si>
  <si>
    <t>PLY00167</t>
  </si>
  <si>
    <t>user_71669</t>
  </si>
  <si>
    <t>21:14</t>
  </si>
  <si>
    <t>TX10370</t>
  </si>
  <si>
    <t>PLY00076</t>
  </si>
  <si>
    <t>user_24168</t>
  </si>
  <si>
    <t>10:16</t>
  </si>
  <si>
    <t>TX10371</t>
  </si>
  <si>
    <t>PLY00042</t>
  </si>
  <si>
    <t>user_17100</t>
  </si>
  <si>
    <t>02:35</t>
  </si>
  <si>
    <t>TX10372</t>
  </si>
  <si>
    <t>22:01</t>
  </si>
  <si>
    <t>TX10373</t>
  </si>
  <si>
    <t>TX10374</t>
  </si>
  <si>
    <t>17:16</t>
  </si>
  <si>
    <t>TX10375</t>
  </si>
  <si>
    <t>17:53</t>
  </si>
  <si>
    <t>TX10376</t>
  </si>
  <si>
    <t>21:40</t>
  </si>
  <si>
    <t>TX10377</t>
  </si>
  <si>
    <t>03:19</t>
  </si>
  <si>
    <t>TX10378</t>
  </si>
  <si>
    <t>TX10379</t>
  </si>
  <si>
    <t>08:28</t>
  </si>
  <si>
    <t>TX10380</t>
  </si>
  <si>
    <t>TX10381</t>
  </si>
  <si>
    <t>18:14</t>
  </si>
  <si>
    <t>TX10382</t>
  </si>
  <si>
    <t>21:55</t>
  </si>
  <si>
    <t>TX10383</t>
  </si>
  <si>
    <t>12:57</t>
  </si>
  <si>
    <t>TX10384</t>
  </si>
  <si>
    <t>TX10385</t>
  </si>
  <si>
    <t>06:08</t>
  </si>
  <si>
    <t>TX10386</t>
  </si>
  <si>
    <t>PLY00052</t>
  </si>
  <si>
    <t>user_86569</t>
  </si>
  <si>
    <t>20:09</t>
  </si>
  <si>
    <t>TX10387</t>
  </si>
  <si>
    <t>17:25</t>
  </si>
  <si>
    <t>TX10388</t>
  </si>
  <si>
    <t>16:50</t>
  </si>
  <si>
    <t>TX10389</t>
  </si>
  <si>
    <t>PLY00151</t>
  </si>
  <si>
    <t>user_83772</t>
  </si>
  <si>
    <t>03:59</t>
  </si>
  <si>
    <t>TX10390</t>
  </si>
  <si>
    <t>13:16</t>
  </si>
  <si>
    <t>TX10391</t>
  </si>
  <si>
    <t>08:25</t>
  </si>
  <si>
    <t>TX10392</t>
  </si>
  <si>
    <t>10:44</t>
  </si>
  <si>
    <t>TX10393</t>
  </si>
  <si>
    <t>09:19</t>
  </si>
  <si>
    <t>TX10394</t>
  </si>
  <si>
    <t>04:19</t>
  </si>
  <si>
    <t>TX10395</t>
  </si>
  <si>
    <t>13:38</t>
  </si>
  <si>
    <t>TX10396</t>
  </si>
  <si>
    <t>16:55</t>
  </si>
  <si>
    <t>TX10397</t>
  </si>
  <si>
    <t>22:32</t>
  </si>
  <si>
    <t>TX10398</t>
  </si>
  <si>
    <t>06:56</t>
  </si>
  <si>
    <t>TX10399</t>
  </si>
  <si>
    <t>PLY00117</t>
  </si>
  <si>
    <t>user_54236</t>
  </si>
  <si>
    <t>11:45</t>
  </si>
  <si>
    <t>TX10400</t>
  </si>
  <si>
    <t>TX10401</t>
  </si>
  <si>
    <t>18:35</t>
  </si>
  <si>
    <t>TX10402</t>
  </si>
  <si>
    <t>09:01</t>
  </si>
  <si>
    <t>TX10403</t>
  </si>
  <si>
    <t>PLY00057</t>
  </si>
  <si>
    <t>user_41285</t>
  </si>
  <si>
    <t>07:43</t>
  </si>
  <si>
    <t>TX10404</t>
  </si>
  <si>
    <t>21:00</t>
  </si>
  <si>
    <t>TX10405</t>
  </si>
  <si>
    <t>08:38</t>
  </si>
  <si>
    <t>TX10406</t>
  </si>
  <si>
    <t>TX10407</t>
  </si>
  <si>
    <t>19:25</t>
  </si>
  <si>
    <t>TX10408</t>
  </si>
  <si>
    <t>TX10409</t>
  </si>
  <si>
    <t>20:20</t>
  </si>
  <si>
    <t>TX10410</t>
  </si>
  <si>
    <t>04:33</t>
  </si>
  <si>
    <t>TX10411</t>
  </si>
  <si>
    <t>10:43</t>
  </si>
  <si>
    <t>TX10412</t>
  </si>
  <si>
    <t>12:24</t>
  </si>
  <si>
    <t>TX10413</t>
  </si>
  <si>
    <t>15:58</t>
  </si>
  <si>
    <t>TX10414</t>
  </si>
  <si>
    <t>05:18</t>
  </si>
  <si>
    <t>TX10415</t>
  </si>
  <si>
    <t>TX10416</t>
  </si>
  <si>
    <t>09:26</t>
  </si>
  <si>
    <t>TX10417</t>
  </si>
  <si>
    <t>03:30</t>
  </si>
  <si>
    <t>TX10418</t>
  </si>
  <si>
    <t>06:32</t>
  </si>
  <si>
    <t>TX10419</t>
  </si>
  <si>
    <t>04:08</t>
  </si>
  <si>
    <t>TX10420</t>
  </si>
  <si>
    <t>22:11</t>
  </si>
  <si>
    <t>TX10421</t>
  </si>
  <si>
    <t>01:00</t>
  </si>
  <si>
    <t>TX10422</t>
  </si>
  <si>
    <t>TX10423</t>
  </si>
  <si>
    <t>PLY00112</t>
  </si>
  <si>
    <t>user_73993</t>
  </si>
  <si>
    <t>13:25</t>
  </si>
  <si>
    <t>TX10424</t>
  </si>
  <si>
    <t>23:23</t>
  </si>
  <si>
    <t>TX10425</t>
  </si>
  <si>
    <t>PLY00049</t>
  </si>
  <si>
    <t>user_47388</t>
  </si>
  <si>
    <t>TX10426</t>
  </si>
  <si>
    <t>PLY00080</t>
  </si>
  <si>
    <t>user_53404</t>
  </si>
  <si>
    <t>03:24</t>
  </si>
  <si>
    <t>TX10427</t>
  </si>
  <si>
    <t>14:46</t>
  </si>
  <si>
    <t>TX10428</t>
  </si>
  <si>
    <t>15:22</t>
  </si>
  <si>
    <t>TX10429</t>
  </si>
  <si>
    <t>TX10430</t>
  </si>
  <si>
    <t>03:23</t>
  </si>
  <si>
    <t>TX10431</t>
  </si>
  <si>
    <t>PLY00066</t>
  </si>
  <si>
    <t>user_16658</t>
  </si>
  <si>
    <t>17:39</t>
  </si>
  <si>
    <t>TX10432</t>
  </si>
  <si>
    <t>01:44</t>
  </si>
  <si>
    <t>TX10433</t>
  </si>
  <si>
    <t>PLY00065</t>
  </si>
  <si>
    <t>user_36685</t>
  </si>
  <si>
    <t>22:09</t>
  </si>
  <si>
    <t>TX10434</t>
  </si>
  <si>
    <t>03:42</t>
  </si>
  <si>
    <t>TX10435</t>
  </si>
  <si>
    <t>TX10436</t>
  </si>
  <si>
    <t>19:12</t>
  </si>
  <si>
    <t>TX10437</t>
  </si>
  <si>
    <t>TX10438</t>
  </si>
  <si>
    <t>07:00</t>
  </si>
  <si>
    <t>TX10439</t>
  </si>
  <si>
    <t>04:05</t>
  </si>
  <si>
    <t>TX10440</t>
  </si>
  <si>
    <t>TX10441</t>
  </si>
  <si>
    <t>05:55</t>
  </si>
  <si>
    <t>TX10442</t>
  </si>
  <si>
    <t>TX10443</t>
  </si>
  <si>
    <t>20:10</t>
  </si>
  <si>
    <t>TX10444</t>
  </si>
  <si>
    <t>11:52</t>
  </si>
  <si>
    <t>TX10445</t>
  </si>
  <si>
    <t>22:54</t>
  </si>
  <si>
    <t>TX10446</t>
  </si>
  <si>
    <t>PLY00029</t>
  </si>
  <si>
    <t>user_10074</t>
  </si>
  <si>
    <t>22:46</t>
  </si>
  <si>
    <t>TX10447</t>
  </si>
  <si>
    <t>15:51</t>
  </si>
  <si>
    <t>TX10448</t>
  </si>
  <si>
    <t>19:01</t>
  </si>
  <si>
    <t>TX10449</t>
  </si>
  <si>
    <t>03:56</t>
  </si>
  <si>
    <t>TX10450</t>
  </si>
  <si>
    <t>22:55</t>
  </si>
  <si>
    <t>TX10451</t>
  </si>
  <si>
    <t>TX10452</t>
  </si>
  <si>
    <t>TX10453</t>
  </si>
  <si>
    <t>05:32</t>
  </si>
  <si>
    <t>TX10454</t>
  </si>
  <si>
    <t>15:20</t>
  </si>
  <si>
    <t>TX10455</t>
  </si>
  <si>
    <t>TX10456</t>
  </si>
  <si>
    <t>02:54</t>
  </si>
  <si>
    <t>TX10457</t>
  </si>
  <si>
    <t>03:25</t>
  </si>
  <si>
    <t>TX10458</t>
  </si>
  <si>
    <t>TX10459</t>
  </si>
  <si>
    <t>TX10460</t>
  </si>
  <si>
    <t>TX10461</t>
  </si>
  <si>
    <t>TX10462</t>
  </si>
  <si>
    <t>11:44</t>
  </si>
  <si>
    <t>TX10463</t>
  </si>
  <si>
    <t>23:26</t>
  </si>
  <si>
    <t>TX10464</t>
  </si>
  <si>
    <t>14:52</t>
  </si>
  <si>
    <t>TX10465</t>
  </si>
  <si>
    <t>TX10466</t>
  </si>
  <si>
    <t>04:31</t>
  </si>
  <si>
    <t>TX10467</t>
  </si>
  <si>
    <t>16:49</t>
  </si>
  <si>
    <t>TX10468</t>
  </si>
  <si>
    <t>TX10469</t>
  </si>
  <si>
    <t>19:58</t>
  </si>
  <si>
    <t>TX10470</t>
  </si>
  <si>
    <t>TX10471</t>
  </si>
  <si>
    <t>22:47</t>
  </si>
  <si>
    <t>TX10472</t>
  </si>
  <si>
    <t>TX10473</t>
  </si>
  <si>
    <t>TX10474</t>
  </si>
  <si>
    <t>TX10475</t>
  </si>
  <si>
    <t>13:51</t>
  </si>
  <si>
    <t>TX10476</t>
  </si>
  <si>
    <t>01:12</t>
  </si>
  <si>
    <t>TX10477</t>
  </si>
  <si>
    <t>TX10478</t>
  </si>
  <si>
    <t>14:06</t>
  </si>
  <si>
    <t>TX10479</t>
  </si>
  <si>
    <t>TX10480</t>
  </si>
  <si>
    <t>21:03</t>
  </si>
  <si>
    <t>TX10481</t>
  </si>
  <si>
    <t>TX10482</t>
  </si>
  <si>
    <t>TX10483</t>
  </si>
  <si>
    <t>23:12</t>
  </si>
  <si>
    <t>TX10484</t>
  </si>
  <si>
    <t>23:32</t>
  </si>
  <si>
    <t>TX10485</t>
  </si>
  <si>
    <t>05:37</t>
  </si>
  <si>
    <t>TX10486</t>
  </si>
  <si>
    <t>04:59</t>
  </si>
  <si>
    <t>TX10487</t>
  </si>
  <si>
    <t>15:50</t>
  </si>
  <si>
    <t>TX10488</t>
  </si>
  <si>
    <t>07:11</t>
  </si>
  <si>
    <t>TX10489</t>
  </si>
  <si>
    <t>21:21</t>
  </si>
  <si>
    <t>TX10490</t>
  </si>
  <si>
    <t>17:52</t>
  </si>
  <si>
    <t>TX10491</t>
  </si>
  <si>
    <t>07:57</t>
  </si>
  <si>
    <t>TX10492</t>
  </si>
  <si>
    <t>12:58</t>
  </si>
  <si>
    <t>TX10493</t>
  </si>
  <si>
    <t>00:58</t>
  </si>
  <si>
    <t>TX10494</t>
  </si>
  <si>
    <t>01:18</t>
  </si>
  <si>
    <t>TX10495</t>
  </si>
  <si>
    <t>TX10496</t>
  </si>
  <si>
    <t>TX10497</t>
  </si>
  <si>
    <t>13:41</t>
  </si>
  <si>
    <t>TX10498</t>
  </si>
  <si>
    <t>TX10499</t>
  </si>
  <si>
    <t>07:58</t>
  </si>
  <si>
    <t>Bonus ID</t>
  </si>
  <si>
    <t>Bonus Type</t>
  </si>
  <si>
    <t>Bonus Amount (R)</t>
  </si>
  <si>
    <t>Amount Wagered (R)</t>
  </si>
  <si>
    <t>Amount Withdrawn (R)</t>
  </si>
  <si>
    <t>Wager Ratio</t>
  </si>
  <si>
    <t>Multi-Account Flag</t>
  </si>
  <si>
    <t>ABUSE SCORE</t>
  </si>
  <si>
    <t>BON5000</t>
  </si>
  <si>
    <t>VIP Bonus</t>
  </si>
  <si>
    <t>BON5001</t>
  </si>
  <si>
    <t>No Deposit</t>
  </si>
  <si>
    <t>BON5002</t>
  </si>
  <si>
    <t>Free Spins</t>
  </si>
  <si>
    <t>BON5003</t>
  </si>
  <si>
    <t>BON5004</t>
  </si>
  <si>
    <t>Cashback</t>
  </si>
  <si>
    <t>BON5005</t>
  </si>
  <si>
    <t>BON5006</t>
  </si>
  <si>
    <t>Referral Bonus</t>
  </si>
  <si>
    <t>BON5007</t>
  </si>
  <si>
    <t>BON5008</t>
  </si>
  <si>
    <t>Reload Bonus</t>
  </si>
  <si>
    <t>BON5009</t>
  </si>
  <si>
    <t>BON5010</t>
  </si>
  <si>
    <t>Welcome Bonus</t>
  </si>
  <si>
    <t>BON5011</t>
  </si>
  <si>
    <t>BON5012</t>
  </si>
  <si>
    <t>BON5013</t>
  </si>
  <si>
    <t>BON5014</t>
  </si>
  <si>
    <t>BON5015</t>
  </si>
  <si>
    <t>BON5016</t>
  </si>
  <si>
    <t>BON5017</t>
  </si>
  <si>
    <t>BON5018</t>
  </si>
  <si>
    <t>BON5019</t>
  </si>
  <si>
    <t>BON5020</t>
  </si>
  <si>
    <t>BON5021</t>
  </si>
  <si>
    <t>BON5022</t>
  </si>
  <si>
    <t>BON5023</t>
  </si>
  <si>
    <t>BON5024</t>
  </si>
  <si>
    <t>BON5025</t>
  </si>
  <si>
    <t>BON5026</t>
  </si>
  <si>
    <t>BON5027</t>
  </si>
  <si>
    <t>BON5028</t>
  </si>
  <si>
    <t>BON5029</t>
  </si>
  <si>
    <t>BON5030</t>
  </si>
  <si>
    <t>BON5031</t>
  </si>
  <si>
    <t>BON5032</t>
  </si>
  <si>
    <t>BON5033</t>
  </si>
  <si>
    <t>BON5034</t>
  </si>
  <si>
    <t>BON5035</t>
  </si>
  <si>
    <t>BON5036</t>
  </si>
  <si>
    <t>BON5037</t>
  </si>
  <si>
    <t>BON5038</t>
  </si>
  <si>
    <t>BON5039</t>
  </si>
  <si>
    <t>BON5040</t>
  </si>
  <si>
    <t>BON5041</t>
  </si>
  <si>
    <t>BON5042</t>
  </si>
  <si>
    <t>BON5043</t>
  </si>
  <si>
    <t>BON5044</t>
  </si>
  <si>
    <t>BON5045</t>
  </si>
  <si>
    <t>BON5046</t>
  </si>
  <si>
    <t>BON5047</t>
  </si>
  <si>
    <t>PLY00176</t>
  </si>
  <si>
    <t>user_13783</t>
  </si>
  <si>
    <t>BON5048</t>
  </si>
  <si>
    <t>BON5049</t>
  </si>
  <si>
    <t>BON5050</t>
  </si>
  <si>
    <t>BON5051</t>
  </si>
  <si>
    <t>BON5052</t>
  </si>
  <si>
    <t>BON5053</t>
  </si>
  <si>
    <t>BON5054</t>
  </si>
  <si>
    <t>BON5055</t>
  </si>
  <si>
    <t>BON5056</t>
  </si>
  <si>
    <t>BON5057</t>
  </si>
  <si>
    <t>BON5058</t>
  </si>
  <si>
    <t>BON5059</t>
  </si>
  <si>
    <t>BON5060</t>
  </si>
  <si>
    <t>BON5061</t>
  </si>
  <si>
    <t>BON5062</t>
  </si>
  <si>
    <t>BON5063</t>
  </si>
  <si>
    <t>BON5064</t>
  </si>
  <si>
    <t>BON5065</t>
  </si>
  <si>
    <t>BON5066</t>
  </si>
  <si>
    <t>BON5067</t>
  </si>
  <si>
    <t>BON5068</t>
  </si>
  <si>
    <t>BON5069</t>
  </si>
  <si>
    <t>BON5070</t>
  </si>
  <si>
    <t>BON5071</t>
  </si>
  <si>
    <t>BON5072</t>
  </si>
  <si>
    <t>BON5073</t>
  </si>
  <si>
    <t>BON5074</t>
  </si>
  <si>
    <t>BON5075</t>
  </si>
  <si>
    <t>BON5076</t>
  </si>
  <si>
    <t>BON5077</t>
  </si>
  <si>
    <t>BON5078</t>
  </si>
  <si>
    <t>BON5079</t>
  </si>
  <si>
    <t>BON5080</t>
  </si>
  <si>
    <t>BON5081</t>
  </si>
  <si>
    <t>BON5082</t>
  </si>
  <si>
    <t>BON5083</t>
  </si>
  <si>
    <t>BON5084</t>
  </si>
  <si>
    <t>BON5085</t>
  </si>
  <si>
    <t>BON5086</t>
  </si>
  <si>
    <t>PLY00127</t>
  </si>
  <si>
    <t>user_25866</t>
  </si>
  <si>
    <t>BON5087</t>
  </si>
  <si>
    <t>BON5088</t>
  </si>
  <si>
    <t>BON5089</t>
  </si>
  <si>
    <t>BON5090</t>
  </si>
  <si>
    <t>BON5091</t>
  </si>
  <si>
    <t>BON5092</t>
  </si>
  <si>
    <t>BON5093</t>
  </si>
  <si>
    <t>BON5094</t>
  </si>
  <si>
    <t>BON5095</t>
  </si>
  <si>
    <t>BON5096</t>
  </si>
  <si>
    <t>PLY00059</t>
  </si>
  <si>
    <t>user_83792</t>
  </si>
  <si>
    <t>BON5097</t>
  </si>
  <si>
    <t>BON5098</t>
  </si>
  <si>
    <t>BON5099</t>
  </si>
  <si>
    <t>BON5100</t>
  </si>
  <si>
    <t>BON5101</t>
  </si>
  <si>
    <t>BON5102</t>
  </si>
  <si>
    <t>BON5103</t>
  </si>
  <si>
    <t>BON5104</t>
  </si>
  <si>
    <t>BON5105</t>
  </si>
  <si>
    <t>BON5106</t>
  </si>
  <si>
    <t>BON5107</t>
  </si>
  <si>
    <t>BON5108</t>
  </si>
  <si>
    <t>BON5109</t>
  </si>
  <si>
    <t>BON5110</t>
  </si>
  <si>
    <t>BON5111</t>
  </si>
  <si>
    <t>BON5112</t>
  </si>
  <si>
    <t>BON5113</t>
  </si>
  <si>
    <t>BON5114</t>
  </si>
  <si>
    <t>BON5115</t>
  </si>
  <si>
    <t>BON5116</t>
  </si>
  <si>
    <t>BON5117</t>
  </si>
  <si>
    <t>PLY00122</t>
  </si>
  <si>
    <t>user_70952</t>
  </si>
  <si>
    <t>BON5118</t>
  </si>
  <si>
    <t>BON5119</t>
  </si>
  <si>
    <t>BON5120</t>
  </si>
  <si>
    <t>BON5121</t>
  </si>
  <si>
    <t>BON5122</t>
  </si>
  <si>
    <t>BON5123</t>
  </si>
  <si>
    <t>BON5124</t>
  </si>
  <si>
    <t>BON5125</t>
  </si>
  <si>
    <t>BON5126</t>
  </si>
  <si>
    <t>BON5127</t>
  </si>
  <si>
    <t>BON5128</t>
  </si>
  <si>
    <t>BON5129</t>
  </si>
  <si>
    <t>BON5130</t>
  </si>
  <si>
    <t>BON5131</t>
  </si>
  <si>
    <t>BON5132</t>
  </si>
  <si>
    <t>BON5133</t>
  </si>
  <si>
    <t>BON5134</t>
  </si>
  <si>
    <t>BON5135</t>
  </si>
  <si>
    <t>BON5136</t>
  </si>
  <si>
    <t>BON5137</t>
  </si>
  <si>
    <t>PLY00051</t>
  </si>
  <si>
    <t>user_85914</t>
  </si>
  <si>
    <t>BON5138</t>
  </si>
  <si>
    <t>BON5139</t>
  </si>
  <si>
    <t>BON5140</t>
  </si>
  <si>
    <t>BON5141</t>
  </si>
  <si>
    <t>BON5142</t>
  </si>
  <si>
    <t>BON5143</t>
  </si>
  <si>
    <t>BON5144</t>
  </si>
  <si>
    <t>BON5145</t>
  </si>
  <si>
    <t>PLY00161</t>
  </si>
  <si>
    <t>user_17816</t>
  </si>
  <si>
    <t>BON5146</t>
  </si>
  <si>
    <t>BON5147</t>
  </si>
  <si>
    <t>BON5148</t>
  </si>
  <si>
    <t>BON5149</t>
  </si>
  <si>
    <t>BON5150</t>
  </si>
  <si>
    <t>BON5151</t>
  </si>
  <si>
    <t>BON5152</t>
  </si>
  <si>
    <t>BON5153</t>
  </si>
  <si>
    <t>BON5154</t>
  </si>
  <si>
    <t>BON5155</t>
  </si>
  <si>
    <t>BON5156</t>
  </si>
  <si>
    <t>BON5157</t>
  </si>
  <si>
    <t>BON5158</t>
  </si>
  <si>
    <t>BON5159</t>
  </si>
  <si>
    <t>BON5160</t>
  </si>
  <si>
    <t>BON5161</t>
  </si>
  <si>
    <t>BON5162</t>
  </si>
  <si>
    <t>BON5163</t>
  </si>
  <si>
    <t>BON5164</t>
  </si>
  <si>
    <t>BON5165</t>
  </si>
  <si>
    <t>BON5166</t>
  </si>
  <si>
    <t>BON5167</t>
  </si>
  <si>
    <t>BON5168</t>
  </si>
  <si>
    <t>BON5169</t>
  </si>
  <si>
    <t>BON5170</t>
  </si>
  <si>
    <t>BON5171</t>
  </si>
  <si>
    <t>BON5172</t>
  </si>
  <si>
    <t>BON5173</t>
  </si>
  <si>
    <t>BON5174</t>
  </si>
  <si>
    <t>BON5175</t>
  </si>
  <si>
    <t>BON5176</t>
  </si>
  <si>
    <t>BON5177</t>
  </si>
  <si>
    <t>BON5178</t>
  </si>
  <si>
    <t>BON5179</t>
  </si>
  <si>
    <t>BON5180</t>
  </si>
  <si>
    <t>BON5181</t>
  </si>
  <si>
    <t>BON5182</t>
  </si>
  <si>
    <t>BON5183</t>
  </si>
  <si>
    <t>BON5184</t>
  </si>
  <si>
    <t>BON5185</t>
  </si>
  <si>
    <t>BON5186</t>
  </si>
  <si>
    <t>BON5187</t>
  </si>
  <si>
    <t>BON5188</t>
  </si>
  <si>
    <t>BON5189</t>
  </si>
  <si>
    <t>BON5190</t>
  </si>
  <si>
    <t>BON5191</t>
  </si>
  <si>
    <t>BON5192</t>
  </si>
  <si>
    <t>BON5193</t>
  </si>
  <si>
    <t>BON5194</t>
  </si>
  <si>
    <t>BON5195</t>
  </si>
  <si>
    <t>BON5196</t>
  </si>
  <si>
    <t>BON5197</t>
  </si>
  <si>
    <t>BON5198</t>
  </si>
  <si>
    <t>BON5199</t>
  </si>
  <si>
    <t>🚨  FRAUD &amp; ABUSE ALERT CENTRE  —  Real-Time Risk Flags</t>
  </si>
  <si>
    <t>High Risk TX (Score≥60)</t>
  </si>
  <si>
    <t>Location Mismatches</t>
  </si>
  <si>
    <t>Bonus Abuse Flags</t>
  </si>
  <si>
    <t>No-KYC Active Players</t>
  </si>
  <si>
    <t>↑ vs last period</t>
  </si>
  <si>
    <t xml:space="preserve">  📍 LOGIN LOCATION ANOMALIES  —  Players logging in from unexpected countries</t>
  </si>
  <si>
    <t>Bet (R)</t>
  </si>
  <si>
    <t>Win (R)</t>
  </si>
  <si>
    <t>KYC</t>
  </si>
  <si>
    <t>Fraud Score</t>
  </si>
  <si>
    <t>Status</t>
  </si>
  <si>
    <t>🔴 HIGH RISK</t>
  </si>
  <si>
    <t>🟡 REVIEW</t>
  </si>
  <si>
    <t xml:space="preserve">  🎁 BONUS ABUSE FLAGS  —  Players with suspicious bonus claiming patterns</t>
  </si>
  <si>
    <t>Bonus Amt</t>
  </si>
  <si>
    <t>Wagered</t>
  </si>
  <si>
    <t>Withdrawn</t>
  </si>
  <si>
    <t>Multi-Acc</t>
  </si>
  <si>
    <t>Abuse Score</t>
  </si>
  <si>
    <t>FRAUD ANALYTICS DASHBOARD  |  iGaming Operations</t>
  </si>
  <si>
    <t>Abuse Score Explanation
"The Abuse Score is a risk indicator assigned to each bonus record, ranging from 0 to 100. It is designed to identify players who are taking advantage of promotions and bonuses rather than engaging in genuine gameplay. A multi-account flag carries the highest weight at +35 points, as claiming multiple bonuses across linked accounts is the most direct form of bonus abuse. A wager ratio below 50% of the bonus amount adds +30 points, while a ratio below 100% adds +15, both pointing to players who withdraw bonus value without playing through it. Missing KYC verification adds +20 points, as unverified players are harder to trace and more likely to repeat the behaviour across accounts. A withdrawal that exceeds 60% of the original bonus amount adds +15 points, which is a common pattern in bonus harvesting where players take out promotional value with little genuine play. Any bonus record scoring 50 or above is flagged for investigation."</t>
  </si>
  <si>
    <t>Fraud Score Explanation
"The Fraud Score is a risk indicator assigned to each transaction, ranging from 0 to 100. It is built on five behavioural signals that are commonly associated with fraudulent activity in online gaming. A location mismatch between a player's registered country and their login country carries the highest weight at +30 points, as this is the strongest single indicator of account compromise or the use of a VPN or proxy. A win ratio above 3x the bet amount adds +25 points, flagging returns that are statistically abnormal and may point to collusion or exploitation. Players without KYC verification add +20 points, reflecting the higher risk that comes with an unverified identity. Large bets above R1,000 add +15 points, with bets above R500 adding +7, to capture potential money laundering at the placement stage. Transactions from an unknown or unrecognised device add +10 points, which can indicate bot activity or the use of a temporary device. Any transaction scoring 60 or above is treated as high risk and flagged for review."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</si>
</sst>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0.00\x"/>
  </numFmts>
  <fonts count="19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sz val="9"/>
      <color rgb="FF90CAF9"/>
      <name val="Arial"/>
      <family val="2"/>
    </font>
    <font>
      <sz val="8"/>
      <color rgb="FFDDDDDD"/>
      <name val="Arial"/>
      <family val="2"/>
    </font>
    <font>
      <b/>
      <sz val="22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2C3E50"/>
      <name val="Arial"/>
      <family val="2"/>
    </font>
    <font>
      <b/>
      <sz val="10"/>
      <color rgb="FFE67E22"/>
      <name val="Arial"/>
      <family val="2"/>
    </font>
    <font>
      <b/>
      <sz val="10"/>
      <color rgb="FF1E8449"/>
      <name val="Arial"/>
      <family val="2"/>
    </font>
    <font>
      <sz val="9"/>
      <color rgb="FF2C3E50"/>
      <name val="Arial"/>
      <family val="2"/>
    </font>
    <font>
      <b/>
      <sz val="9"/>
      <color rgb="FFC0392B"/>
      <name val="Arial"/>
      <family val="2"/>
    </font>
    <font>
      <b/>
      <sz val="9"/>
      <color rgb="FFE67E22"/>
      <name val="Arial"/>
      <family val="2"/>
    </font>
    <font>
      <b/>
      <sz val="9"/>
      <color rgb="FF2C3E50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EEEEEE"/>
      <name val="Arial"/>
      <family val="2"/>
    </font>
    <font>
      <b/>
      <sz val="24"/>
      <color rgb="FFFFFFFF"/>
      <name val="Arial"/>
      <family val="2"/>
    </font>
    <font>
      <sz val="16"/>
      <color theme="1"/>
      <name val="Aptos"/>
    </font>
  </fonts>
  <fills count="17">
    <fill>
      <patternFill patternType="none"/>
    </fill>
    <fill>
      <patternFill patternType="gray125"/>
    </fill>
    <fill>
      <patternFill patternType="solid">
        <fgColor rgb="FFF5F6FA"/>
        <bgColor rgb="FFEEEEEE"/>
      </patternFill>
    </fill>
    <fill>
      <patternFill patternType="solid">
        <fgColor rgb="FF0D1B2A"/>
        <bgColor rgb="FF000000"/>
      </patternFill>
    </fill>
    <fill>
      <patternFill patternType="solid">
        <fgColor rgb="FF0F4C75"/>
        <bgColor rgb="FF2C3E50"/>
      </patternFill>
    </fill>
    <fill>
      <patternFill patternType="solid">
        <fgColor rgb="FF1B6CA8"/>
        <bgColor rgb="FF008080"/>
      </patternFill>
    </fill>
    <fill>
      <patternFill patternType="solid">
        <fgColor rgb="FFC0392B"/>
        <bgColor rgb="FF922B21"/>
      </patternFill>
    </fill>
    <fill>
      <patternFill patternType="solid">
        <fgColor rgb="FFE67E22"/>
        <bgColor rgb="FFFF9900"/>
      </patternFill>
    </fill>
    <fill>
      <patternFill patternType="solid">
        <fgColor rgb="FF8E44AD"/>
        <bgColor rgb="FF6C3483"/>
      </patternFill>
    </fill>
    <fill>
      <patternFill patternType="solid">
        <fgColor rgb="FF922B21"/>
        <bgColor rgb="FFC0392B"/>
      </patternFill>
    </fill>
    <fill>
      <patternFill patternType="solid">
        <fgColor rgb="FFFFFFFF"/>
        <bgColor rgb="FFF5F6FA"/>
      </patternFill>
    </fill>
    <fill>
      <patternFill patternType="solid">
        <fgColor rgb="FF2C3E50"/>
        <bgColor rgb="FF0F4C75"/>
      </patternFill>
    </fill>
    <fill>
      <patternFill patternType="solid">
        <fgColor rgb="FFFDECEA"/>
        <bgColor rgb="FFFEF3E2"/>
      </patternFill>
    </fill>
    <fill>
      <patternFill patternType="solid">
        <fgColor rgb="FFFEF3E2"/>
        <bgColor rgb="FFFDECEA"/>
      </patternFill>
    </fill>
    <fill>
      <patternFill patternType="solid">
        <fgColor rgb="FFD6E8FA"/>
        <bgColor rgb="FFDDDDDD"/>
      </patternFill>
    </fill>
    <fill>
      <patternFill patternType="solid">
        <fgColor rgb="FF6C3483"/>
        <bgColor rgb="FF8E44AD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4" borderId="0" xfId="0" applyFill="1"/>
    <xf numFmtId="0" fontId="0" fillId="5" borderId="0" xfId="0" applyFill="1"/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/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right" vertical="center"/>
    </xf>
    <xf numFmtId="164" fontId="7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right" vertical="center"/>
    </xf>
    <xf numFmtId="0" fontId="11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right" vertical="center"/>
    </xf>
    <xf numFmtId="0" fontId="11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166" fontId="10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6" fontId="10" fillId="12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6" fontId="10" fillId="13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4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0" fillId="14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5" fillId="15" borderId="0" xfId="0" applyFont="1" applyFill="1"/>
    <xf numFmtId="0" fontId="18" fillId="16" borderId="3" xfId="0" applyFont="1" applyFill="1" applyBorder="1" applyAlignment="1">
      <alignment vertical="top" wrapText="1"/>
    </xf>
    <xf numFmtId="0" fontId="18" fillId="16" borderId="0" xfId="0" applyFont="1" applyFill="1" applyBorder="1" applyAlignment="1">
      <alignment vertical="top"/>
    </xf>
    <xf numFmtId="0" fontId="18" fillId="16" borderId="3" xfId="0" applyFont="1" applyFill="1" applyBorder="1" applyAlignment="1">
      <alignment vertical="top"/>
    </xf>
    <xf numFmtId="0" fontId="18" fillId="16" borderId="3" xfId="0" applyFont="1" applyFill="1" applyBorder="1" applyAlignment="1">
      <alignment horizontal="left" vertical="top" wrapText="1"/>
    </xf>
    <xf numFmtId="0" fontId="18" fillId="16" borderId="0" xfId="0" applyFont="1" applyFill="1" applyBorder="1" applyAlignment="1">
      <alignment horizontal="left" vertical="top"/>
    </xf>
    <xf numFmtId="0" fontId="18" fillId="16" borderId="3" xfId="0" applyFont="1" applyFill="1" applyBorder="1" applyAlignment="1">
      <alignment horizontal="left" vertical="top"/>
    </xf>
  </cellXfs>
  <cellStyles count="1">
    <cellStyle name="Normal" xfId="0" builtinId="0"/>
  </cellStyles>
  <dxfs count="2">
    <dxf>
      <font>
        <b/>
        <sz val="9"/>
        <color rgb="FFC0392B"/>
        <name val="Arial"/>
        <charset val="1"/>
      </font>
      <fill>
        <patternFill>
          <bgColor rgb="FFFDECEA"/>
        </patternFill>
      </fill>
    </dxf>
    <dxf>
      <font>
        <b/>
        <sz val="9"/>
        <color rgb="FFC0392B"/>
        <name val="Arial"/>
        <charset val="1"/>
      </font>
      <fill>
        <patternFill>
          <bgColor rgb="FFFDEC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9999FF"/>
      <rgbColor rgb="FF6C3483"/>
      <rgbColor rgb="FFFEF3E2"/>
      <rgbColor rgb="FFD6E8FA"/>
      <rgbColor rgb="FF660066"/>
      <rgbColor rgb="FFFF8080"/>
      <rgbColor rgb="FF1B6CA8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5F6FA"/>
      <rgbColor rgb="FFFDECEA"/>
      <rgbColor rgb="FF90CAF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F4C75"/>
      <rgbColor rgb="FF1E8449"/>
      <rgbColor rgb="FF0D1B2A"/>
      <rgbColor rgb="FF333300"/>
      <rgbColor rgb="FF922B21"/>
      <rgbColor rgb="FF8E44AD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U64"/>
  <sheetViews>
    <sheetView showGridLines="0" tabSelected="1" zoomScaleNormal="100" workbookViewId="0">
      <selection activeCell="B3" sqref="B3:U3"/>
    </sheetView>
  </sheetViews>
  <sheetFormatPr baseColWidth="10" defaultColWidth="8.6640625" defaultRowHeight="15" x14ac:dyDescent="0.2"/>
  <cols>
    <col min="1" max="1" width="2" customWidth="1"/>
    <col min="2" max="2" width="16" customWidth="1"/>
    <col min="3" max="9" width="14" customWidth="1"/>
    <col min="10" max="10" width="18.83203125" customWidth="1"/>
    <col min="11" max="20" width="14" customWidth="1"/>
    <col min="21" max="21" width="2" customWidth="1"/>
  </cols>
  <sheetData>
    <row r="1" spans="1:21" ht="19.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37.5" customHeight="1" x14ac:dyDescent="0.2">
      <c r="A2" s="15"/>
      <c r="B2" s="14" t="s">
        <v>1632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21.75" customHeight="1" x14ac:dyDescent="0.2">
      <c r="A3" s="15"/>
      <c r="B3" s="13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ht="19.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 ht="18" customHeight="1" x14ac:dyDescent="0.2">
      <c r="A5" s="15"/>
      <c r="B5" s="12" t="s">
        <v>1</v>
      </c>
      <c r="C5" s="12"/>
      <c r="D5" s="12"/>
      <c r="E5" s="11" t="s">
        <v>2</v>
      </c>
      <c r="F5" s="11"/>
      <c r="G5" s="11"/>
      <c r="H5" s="10" t="s">
        <v>3</v>
      </c>
      <c r="I5" s="10"/>
      <c r="J5" s="10"/>
      <c r="K5" s="9" t="s">
        <v>4</v>
      </c>
      <c r="L5" s="9"/>
      <c r="M5" s="9"/>
      <c r="N5" s="8" t="s">
        <v>5</v>
      </c>
      <c r="O5" s="8"/>
      <c r="P5" s="8"/>
      <c r="Q5" s="10" t="s">
        <v>6</v>
      </c>
      <c r="R5" s="10"/>
      <c r="S5" s="10"/>
      <c r="T5" s="15"/>
      <c r="U5" s="15"/>
    </row>
    <row r="6" spans="1:21" ht="18" customHeight="1" x14ac:dyDescent="0.2">
      <c r="A6" s="15"/>
      <c r="B6" s="12"/>
      <c r="C6" s="12"/>
      <c r="D6" s="12"/>
      <c r="E6" s="11"/>
      <c r="F6" s="11"/>
      <c r="G6" s="11"/>
      <c r="H6" s="10"/>
      <c r="I6" s="10"/>
      <c r="J6" s="10"/>
      <c r="K6" s="9"/>
      <c r="L6" s="9"/>
      <c r="M6" s="9"/>
      <c r="N6" s="8"/>
      <c r="O6" s="8"/>
      <c r="P6" s="8"/>
      <c r="Q6" s="10"/>
      <c r="R6" s="10"/>
      <c r="S6" s="10"/>
      <c r="T6" s="15"/>
      <c r="U6" s="15"/>
    </row>
    <row r="7" spans="1:21" ht="39.75" customHeight="1" x14ac:dyDescent="0.2">
      <c r="A7" s="15"/>
      <c r="B7" s="7">
        <f>COUNTA(Transactions!A2:A501)</f>
        <v>500</v>
      </c>
      <c r="C7" s="7"/>
      <c r="D7" s="7"/>
      <c r="E7" s="6">
        <f>SUM(Transactions!L2:L501)</f>
        <v>235922.21999999994</v>
      </c>
      <c r="F7" s="6"/>
      <c r="G7" s="6"/>
      <c r="H7" s="5">
        <f>COUNTIF(Transactions!R2:R501,"&gt;=60")</f>
        <v>16</v>
      </c>
      <c r="I7" s="5"/>
      <c r="J7" s="5"/>
      <c r="K7" s="4">
        <f>COUNTIF(Transactions!O2:O501,"YES")</f>
        <v>22</v>
      </c>
      <c r="L7" s="4"/>
      <c r="M7" s="4"/>
      <c r="N7" s="3">
        <f>COUNTIF(Bonuses!N2:N201,"&gt;=50")</f>
        <v>8</v>
      </c>
      <c r="O7" s="3"/>
      <c r="P7" s="3"/>
      <c r="Q7" s="5">
        <f>COUNTIF(Transactions!K2:K501,"No")</f>
        <v>134</v>
      </c>
      <c r="R7" s="5"/>
      <c r="S7" s="5"/>
      <c r="T7" s="15"/>
      <c r="U7" s="15"/>
    </row>
    <row r="8" spans="1:21" ht="19.5" customHeight="1" x14ac:dyDescent="0.2">
      <c r="A8" s="15"/>
      <c r="B8" s="7"/>
      <c r="C8" s="7"/>
      <c r="D8" s="7"/>
      <c r="E8" s="6"/>
      <c r="F8" s="6"/>
      <c r="G8" s="6"/>
      <c r="H8" s="5"/>
      <c r="I8" s="5"/>
      <c r="J8" s="5"/>
      <c r="K8" s="4"/>
      <c r="L8" s="4"/>
      <c r="M8" s="4"/>
      <c r="N8" s="3"/>
      <c r="O8" s="3"/>
      <c r="P8" s="3"/>
      <c r="Q8" s="5"/>
      <c r="R8" s="5"/>
      <c r="S8" s="5"/>
      <c r="T8" s="15"/>
      <c r="U8" s="15"/>
    </row>
    <row r="9" spans="1:21" ht="19.5" customHeight="1" x14ac:dyDescent="0.2">
      <c r="A9" s="15"/>
      <c r="B9" s="2"/>
      <c r="C9" s="2"/>
      <c r="D9" s="2"/>
      <c r="E9" s="1"/>
      <c r="F9" s="1"/>
      <c r="G9" s="1"/>
      <c r="H9" s="53"/>
      <c r="I9" s="53"/>
      <c r="J9" s="53"/>
      <c r="K9" s="54"/>
      <c r="L9" s="54"/>
      <c r="M9" s="54"/>
      <c r="N9" s="55"/>
      <c r="O9" s="55"/>
      <c r="P9" s="55"/>
      <c r="Q9" s="53"/>
      <c r="R9" s="53"/>
      <c r="S9" s="53"/>
      <c r="T9" s="15"/>
      <c r="U9" s="15"/>
    </row>
    <row r="10" spans="1:21" ht="19.5" customHeight="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1" ht="25.5" customHeight="1" x14ac:dyDescent="0.2">
      <c r="A11" s="15"/>
      <c r="B11" s="56" t="s">
        <v>7</v>
      </c>
      <c r="C11" s="56"/>
      <c r="D11" s="56"/>
      <c r="E11" s="56"/>
      <c r="F11" s="56"/>
      <c r="G11" s="56"/>
      <c r="H11" s="56"/>
      <c r="I11" s="56"/>
      <c r="J11" s="56"/>
      <c r="K11" s="57" t="s">
        <v>8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</row>
    <row r="12" spans="1:21" ht="19.5" customHeight="1" x14ac:dyDescent="0.2">
      <c r="A12" s="15"/>
      <c r="B12" s="16" t="s">
        <v>9</v>
      </c>
      <c r="C12" s="16" t="s">
        <v>10</v>
      </c>
      <c r="D12" s="16" t="s">
        <v>11</v>
      </c>
      <c r="E12" s="16" t="s">
        <v>12</v>
      </c>
      <c r="F12" s="16" t="s">
        <v>13</v>
      </c>
      <c r="G12" s="16" t="s">
        <v>14</v>
      </c>
      <c r="H12" s="15"/>
      <c r="I12" s="15"/>
      <c r="J12" s="15"/>
      <c r="K12" s="17" t="s">
        <v>15</v>
      </c>
      <c r="L12" s="17" t="s">
        <v>10</v>
      </c>
      <c r="M12" s="17" t="s">
        <v>16</v>
      </c>
      <c r="N12" s="17" t="s">
        <v>17</v>
      </c>
      <c r="O12" s="17" t="s">
        <v>12</v>
      </c>
      <c r="P12" s="17" t="s">
        <v>18</v>
      </c>
      <c r="Q12" s="15"/>
      <c r="R12" s="15"/>
      <c r="S12" s="15"/>
      <c r="T12" s="15"/>
      <c r="U12" s="15"/>
    </row>
    <row r="13" spans="1:21" ht="21.75" customHeight="1" x14ac:dyDescent="0.2">
      <c r="A13" s="15"/>
      <c r="B13" s="18" t="s">
        <v>19</v>
      </c>
      <c r="C13" s="18">
        <v>73</v>
      </c>
      <c r="D13" s="19">
        <v>620.30999999999995</v>
      </c>
      <c r="E13" s="18">
        <v>14.9</v>
      </c>
      <c r="F13" s="18">
        <v>5</v>
      </c>
      <c r="G13" s="20">
        <v>6.8493150684931503E-2</v>
      </c>
      <c r="H13" s="15"/>
      <c r="I13" s="15"/>
      <c r="J13" s="15"/>
      <c r="K13" s="18" t="s">
        <v>20</v>
      </c>
      <c r="L13" s="18">
        <v>17</v>
      </c>
      <c r="M13" s="19">
        <v>29916.06</v>
      </c>
      <c r="N13" s="19">
        <v>100238.79</v>
      </c>
      <c r="O13" s="18">
        <v>32.1</v>
      </c>
      <c r="P13" s="21" t="s">
        <v>21</v>
      </c>
      <c r="Q13" s="15"/>
      <c r="R13" s="15"/>
      <c r="S13" s="15"/>
      <c r="T13" s="15"/>
      <c r="U13" s="15"/>
    </row>
    <row r="14" spans="1:21" ht="21.75" customHeight="1" x14ac:dyDescent="0.2">
      <c r="A14" s="15"/>
      <c r="B14" s="22" t="s">
        <v>22</v>
      </c>
      <c r="C14" s="22">
        <v>79</v>
      </c>
      <c r="D14" s="23">
        <v>734.72</v>
      </c>
      <c r="E14" s="22">
        <v>13.2</v>
      </c>
      <c r="F14" s="22">
        <v>4</v>
      </c>
      <c r="G14" s="24">
        <v>5.0632911392405097E-2</v>
      </c>
      <c r="H14" s="15"/>
      <c r="I14" s="15"/>
      <c r="J14" s="15"/>
      <c r="K14" s="22" t="s">
        <v>23</v>
      </c>
      <c r="L14" s="22">
        <v>29</v>
      </c>
      <c r="M14" s="23">
        <v>40525.730000000003</v>
      </c>
      <c r="N14" s="23">
        <v>108753.59</v>
      </c>
      <c r="O14" s="22">
        <v>17.600000000000001</v>
      </c>
      <c r="P14" s="25" t="s">
        <v>24</v>
      </c>
      <c r="Q14" s="15"/>
      <c r="R14" s="15"/>
      <c r="S14" s="15"/>
      <c r="T14" s="15"/>
      <c r="U14" s="15"/>
    </row>
    <row r="15" spans="1:21" ht="21.75" customHeight="1" x14ac:dyDescent="0.2">
      <c r="A15" s="15"/>
      <c r="B15" s="18" t="s">
        <v>25</v>
      </c>
      <c r="C15" s="18">
        <v>69</v>
      </c>
      <c r="D15" s="19">
        <v>424.04</v>
      </c>
      <c r="E15" s="18">
        <v>10.9</v>
      </c>
      <c r="F15" s="18">
        <v>3</v>
      </c>
      <c r="G15" s="20">
        <v>4.3478260869565202E-2</v>
      </c>
      <c r="H15" s="15"/>
      <c r="I15" s="15"/>
      <c r="J15" s="15"/>
      <c r="K15" s="18" t="s">
        <v>26</v>
      </c>
      <c r="L15" s="18">
        <v>22</v>
      </c>
      <c r="M15" s="19">
        <v>5222.25</v>
      </c>
      <c r="N15" s="19">
        <v>4665.33</v>
      </c>
      <c r="O15" s="18">
        <v>13.6</v>
      </c>
      <c r="P15" s="26" t="s">
        <v>24</v>
      </c>
      <c r="Q15" s="15"/>
      <c r="R15" s="15"/>
      <c r="S15" s="15"/>
      <c r="T15" s="15"/>
      <c r="U15" s="15"/>
    </row>
    <row r="16" spans="1:21" ht="21.75" customHeight="1" x14ac:dyDescent="0.2">
      <c r="A16" s="15"/>
      <c r="B16" s="22" t="s">
        <v>27</v>
      </c>
      <c r="C16" s="22">
        <v>86</v>
      </c>
      <c r="D16" s="23">
        <v>438.26</v>
      </c>
      <c r="E16" s="22">
        <v>10.5</v>
      </c>
      <c r="F16" s="22">
        <v>2</v>
      </c>
      <c r="G16" s="24">
        <v>2.32558139534884E-2</v>
      </c>
      <c r="H16" s="15"/>
      <c r="I16" s="15"/>
      <c r="J16" s="15"/>
      <c r="K16" s="22" t="s">
        <v>28</v>
      </c>
      <c r="L16" s="22">
        <v>39</v>
      </c>
      <c r="M16" s="23">
        <v>25827.18</v>
      </c>
      <c r="N16" s="23">
        <v>74400.13</v>
      </c>
      <c r="O16" s="22">
        <v>13.6</v>
      </c>
      <c r="P16" s="25" t="s">
        <v>24</v>
      </c>
      <c r="Q16" s="15"/>
      <c r="R16" s="15"/>
      <c r="S16" s="15"/>
      <c r="T16" s="15"/>
      <c r="U16" s="15"/>
    </row>
    <row r="17" spans="1:21" ht="21.75" customHeight="1" x14ac:dyDescent="0.2">
      <c r="A17" s="15"/>
      <c r="B17" s="18" t="s">
        <v>29</v>
      </c>
      <c r="C17" s="18">
        <v>60</v>
      </c>
      <c r="D17" s="19">
        <v>315.02999999999997</v>
      </c>
      <c r="E17" s="18">
        <v>8.1999999999999993</v>
      </c>
      <c r="F17" s="18">
        <v>1</v>
      </c>
      <c r="G17" s="20">
        <v>1.6666666666666701E-2</v>
      </c>
      <c r="H17" s="15"/>
      <c r="I17" s="15"/>
      <c r="J17" s="15"/>
      <c r="K17" s="18" t="s">
        <v>30</v>
      </c>
      <c r="L17" s="18">
        <v>58</v>
      </c>
      <c r="M17" s="19">
        <v>51461.96</v>
      </c>
      <c r="N17" s="19">
        <v>130474.87</v>
      </c>
      <c r="O17" s="18">
        <v>12.7</v>
      </c>
      <c r="P17" s="26" t="s">
        <v>24</v>
      </c>
      <c r="Q17" s="15"/>
      <c r="R17" s="15"/>
      <c r="S17" s="15"/>
      <c r="T17" s="15"/>
      <c r="U17" s="15"/>
    </row>
    <row r="18" spans="1:21" ht="21.75" customHeight="1" x14ac:dyDescent="0.2">
      <c r="A18" s="15"/>
      <c r="B18" s="22" t="s">
        <v>31</v>
      </c>
      <c r="C18" s="22">
        <v>76</v>
      </c>
      <c r="D18" s="23">
        <v>368.5</v>
      </c>
      <c r="E18" s="22">
        <v>9.1</v>
      </c>
      <c r="F18" s="22">
        <v>1</v>
      </c>
      <c r="G18" s="24">
        <v>1.3157894736842099E-2</v>
      </c>
      <c r="H18" s="15"/>
      <c r="I18" s="15"/>
      <c r="J18" s="15"/>
      <c r="K18" s="22" t="s">
        <v>32</v>
      </c>
      <c r="L18" s="22">
        <v>23</v>
      </c>
      <c r="M18" s="23">
        <v>6428.69</v>
      </c>
      <c r="N18" s="23">
        <v>7860.04</v>
      </c>
      <c r="O18" s="22">
        <v>10.4</v>
      </c>
      <c r="P18" s="25" t="s">
        <v>24</v>
      </c>
      <c r="Q18" s="15"/>
      <c r="R18" s="15"/>
      <c r="S18" s="15"/>
      <c r="T18" s="15"/>
      <c r="U18" s="15"/>
    </row>
    <row r="19" spans="1:21" ht="21.75" customHeight="1" x14ac:dyDescent="0.2">
      <c r="A19" s="15"/>
      <c r="B19" s="18" t="s">
        <v>33</v>
      </c>
      <c r="C19" s="18">
        <v>57</v>
      </c>
      <c r="D19" s="19">
        <v>328.78</v>
      </c>
      <c r="E19" s="18">
        <v>8.1999999999999993</v>
      </c>
      <c r="F19" s="18">
        <v>0</v>
      </c>
      <c r="G19" s="20">
        <v>0</v>
      </c>
      <c r="H19" s="15"/>
      <c r="I19" s="15"/>
      <c r="J19" s="15"/>
      <c r="K19" s="18" t="s">
        <v>34</v>
      </c>
      <c r="L19" s="18">
        <v>312</v>
      </c>
      <c r="M19" s="19">
        <v>76540.350000000006</v>
      </c>
      <c r="N19" s="19">
        <v>80425.740000000005</v>
      </c>
      <c r="O19" s="18">
        <v>8.1999999999999993</v>
      </c>
      <c r="P19" s="26" t="s">
        <v>24</v>
      </c>
      <c r="Q19" s="15"/>
      <c r="R19" s="15"/>
      <c r="S19" s="15"/>
      <c r="T19" s="15"/>
      <c r="U19" s="15"/>
    </row>
    <row r="20" spans="1:21" ht="19.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 ht="19.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ht="25.5" customHeight="1" x14ac:dyDescent="0.2">
      <c r="A22" s="15"/>
      <c r="B22" s="58" t="s">
        <v>35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</row>
    <row r="23" spans="1:21" ht="19.5" customHeight="1" x14ac:dyDescent="0.2">
      <c r="A23" s="15"/>
      <c r="B23" s="27" t="s">
        <v>36</v>
      </c>
      <c r="C23" s="27" t="s">
        <v>37</v>
      </c>
      <c r="D23" s="27" t="s">
        <v>10</v>
      </c>
      <c r="E23" s="27" t="s">
        <v>16</v>
      </c>
      <c r="F23" s="27" t="s">
        <v>17</v>
      </c>
      <c r="G23" s="27" t="s">
        <v>12</v>
      </c>
      <c r="H23" s="27" t="s">
        <v>38</v>
      </c>
      <c r="I23" s="27" t="s">
        <v>18</v>
      </c>
      <c r="J23" s="27" t="s">
        <v>39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1:21" ht="21.75" customHeight="1" x14ac:dyDescent="0.2">
      <c r="A24" s="15"/>
      <c r="B24" s="28" t="s">
        <v>40</v>
      </c>
      <c r="C24" s="28" t="s">
        <v>41</v>
      </c>
      <c r="D24" s="28">
        <v>2</v>
      </c>
      <c r="E24" s="29">
        <v>6999.55</v>
      </c>
      <c r="F24" s="29">
        <v>26165.97</v>
      </c>
      <c r="G24" s="28">
        <v>90</v>
      </c>
      <c r="H24" s="28">
        <v>1</v>
      </c>
      <c r="I24" s="30" t="s">
        <v>42</v>
      </c>
      <c r="J24" s="30" t="s">
        <v>43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1:21" ht="21.75" customHeight="1" x14ac:dyDescent="0.2">
      <c r="A25" s="15"/>
      <c r="B25" s="28" t="s">
        <v>44</v>
      </c>
      <c r="C25" s="28" t="s">
        <v>45</v>
      </c>
      <c r="D25" s="28">
        <v>1</v>
      </c>
      <c r="E25" s="29">
        <v>7296.1</v>
      </c>
      <c r="F25" s="29">
        <v>15150.74</v>
      </c>
      <c r="G25" s="28">
        <v>75</v>
      </c>
      <c r="H25" s="28">
        <v>1</v>
      </c>
      <c r="I25" s="30" t="s">
        <v>42</v>
      </c>
      <c r="J25" s="30" t="s">
        <v>43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 ht="21.75" customHeight="1" x14ac:dyDescent="0.2">
      <c r="A26" s="15"/>
      <c r="B26" s="28" t="s">
        <v>46</v>
      </c>
      <c r="C26" s="28" t="s">
        <v>47</v>
      </c>
      <c r="D26" s="28">
        <v>4</v>
      </c>
      <c r="E26" s="29">
        <v>24148.19</v>
      </c>
      <c r="F26" s="29">
        <v>91850.1</v>
      </c>
      <c r="G26" s="28">
        <v>72.5</v>
      </c>
      <c r="H26" s="28">
        <v>2</v>
      </c>
      <c r="I26" s="30" t="s">
        <v>42</v>
      </c>
      <c r="J26" s="30" t="s">
        <v>43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21" ht="21.75" customHeight="1" x14ac:dyDescent="0.2">
      <c r="A27" s="15"/>
      <c r="B27" s="28" t="s">
        <v>48</v>
      </c>
      <c r="C27" s="28" t="s">
        <v>49</v>
      </c>
      <c r="D27" s="28">
        <v>1</v>
      </c>
      <c r="E27" s="29">
        <v>8335.5300000000007</v>
      </c>
      <c r="F27" s="29">
        <v>27688.7</v>
      </c>
      <c r="G27" s="28">
        <v>70</v>
      </c>
      <c r="H27" s="28">
        <v>1</v>
      </c>
      <c r="I27" s="30" t="s">
        <v>42</v>
      </c>
      <c r="J27" s="30" t="s">
        <v>43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pans="1:21" ht="21.75" customHeight="1" x14ac:dyDescent="0.2">
      <c r="A28" s="15"/>
      <c r="B28" s="28" t="s">
        <v>50</v>
      </c>
      <c r="C28" s="28" t="s">
        <v>51</v>
      </c>
      <c r="D28" s="28">
        <v>4</v>
      </c>
      <c r="E28" s="29">
        <v>19206.66</v>
      </c>
      <c r="F28" s="29">
        <v>64844.75</v>
      </c>
      <c r="G28" s="28">
        <v>67.5</v>
      </c>
      <c r="H28" s="28">
        <v>3</v>
      </c>
      <c r="I28" s="30" t="s">
        <v>42</v>
      </c>
      <c r="J28" s="30" t="s">
        <v>43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1:21" ht="21.75" customHeight="1" x14ac:dyDescent="0.2">
      <c r="A29" s="15"/>
      <c r="B29" s="31" t="s">
        <v>52</v>
      </c>
      <c r="C29" s="31" t="s">
        <v>53</v>
      </c>
      <c r="D29" s="31">
        <v>4</v>
      </c>
      <c r="E29" s="32">
        <v>16540.599999999999</v>
      </c>
      <c r="F29" s="32">
        <v>50497.22</v>
      </c>
      <c r="G29" s="31">
        <v>63</v>
      </c>
      <c r="H29" s="31">
        <v>2</v>
      </c>
      <c r="I29" s="33" t="s">
        <v>42</v>
      </c>
      <c r="J29" s="33" t="s">
        <v>43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1" ht="21.75" customHeight="1" x14ac:dyDescent="0.2">
      <c r="A30" s="15"/>
      <c r="B30" s="31" t="s">
        <v>54</v>
      </c>
      <c r="C30" s="31" t="s">
        <v>55</v>
      </c>
      <c r="D30" s="31">
        <v>2</v>
      </c>
      <c r="E30" s="32">
        <v>5096.03</v>
      </c>
      <c r="F30" s="32">
        <v>12228.76</v>
      </c>
      <c r="G30" s="31">
        <v>62.5</v>
      </c>
      <c r="H30" s="31">
        <v>2</v>
      </c>
      <c r="I30" s="33" t="s">
        <v>42</v>
      </c>
      <c r="J30" s="33" t="s">
        <v>43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 ht="21.75" customHeight="1" x14ac:dyDescent="0.2">
      <c r="A31" s="15"/>
      <c r="B31" s="31" t="s">
        <v>56</v>
      </c>
      <c r="C31" s="31" t="s">
        <v>57</v>
      </c>
      <c r="D31" s="31">
        <v>2</v>
      </c>
      <c r="E31" s="32">
        <v>6147.84</v>
      </c>
      <c r="F31" s="32">
        <v>18778.43</v>
      </c>
      <c r="G31" s="31">
        <v>62.5</v>
      </c>
      <c r="H31" s="31">
        <v>1</v>
      </c>
      <c r="I31" s="33" t="s">
        <v>42</v>
      </c>
      <c r="J31" s="33" t="s">
        <v>43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1" ht="21.75" customHeight="1" x14ac:dyDescent="0.2">
      <c r="A32" s="15"/>
      <c r="B32" s="31" t="s">
        <v>58</v>
      </c>
      <c r="C32" s="31" t="s">
        <v>59</v>
      </c>
      <c r="D32" s="31">
        <v>2</v>
      </c>
      <c r="E32" s="32">
        <v>13407.33</v>
      </c>
      <c r="F32" s="32">
        <v>49613.75</v>
      </c>
      <c r="G32" s="31">
        <v>55</v>
      </c>
      <c r="H32" s="31">
        <v>2</v>
      </c>
      <c r="I32" s="34" t="s">
        <v>60</v>
      </c>
      <c r="J32" s="35" t="s">
        <v>61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 ht="21.75" customHeight="1" x14ac:dyDescent="0.2">
      <c r="A33" s="15"/>
      <c r="B33" s="31" t="s">
        <v>62</v>
      </c>
      <c r="C33" s="31" t="s">
        <v>63</v>
      </c>
      <c r="D33" s="31">
        <v>1</v>
      </c>
      <c r="E33" s="32">
        <v>8703.9699999999993</v>
      </c>
      <c r="F33" s="32">
        <v>22761.200000000001</v>
      </c>
      <c r="G33" s="31">
        <v>55</v>
      </c>
      <c r="H33" s="31">
        <v>1</v>
      </c>
      <c r="I33" s="34" t="s">
        <v>60</v>
      </c>
      <c r="J33" s="35" t="s">
        <v>61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1:21" ht="21.75" customHeight="1" x14ac:dyDescent="0.2">
      <c r="A34" s="15"/>
      <c r="B34" s="36" t="s">
        <v>64</v>
      </c>
      <c r="C34" s="36" t="s">
        <v>65</v>
      </c>
      <c r="D34" s="36">
        <v>1</v>
      </c>
      <c r="E34" s="37">
        <v>77.02</v>
      </c>
      <c r="F34" s="37">
        <v>16.46</v>
      </c>
      <c r="G34" s="36">
        <v>30</v>
      </c>
      <c r="H34" s="36">
        <v>1</v>
      </c>
      <c r="I34" s="38" t="s">
        <v>21</v>
      </c>
      <c r="J34" s="38" t="s">
        <v>66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1:21" ht="21.75" customHeight="1" x14ac:dyDescent="0.2">
      <c r="A35" s="15"/>
      <c r="B35" s="36" t="s">
        <v>67</v>
      </c>
      <c r="C35" s="36" t="s">
        <v>68</v>
      </c>
      <c r="D35" s="36">
        <v>1</v>
      </c>
      <c r="E35" s="37">
        <v>184.92</v>
      </c>
      <c r="F35" s="37">
        <v>317.67</v>
      </c>
      <c r="G35" s="36">
        <v>30</v>
      </c>
      <c r="H35" s="36">
        <v>1</v>
      </c>
      <c r="I35" s="38" t="s">
        <v>21</v>
      </c>
      <c r="J35" s="38" t="s">
        <v>66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 ht="21.75" customHeight="1" x14ac:dyDescent="0.2">
      <c r="A36" s="15"/>
      <c r="B36" s="36" t="s">
        <v>69</v>
      </c>
      <c r="C36" s="36" t="s">
        <v>70</v>
      </c>
      <c r="D36" s="36">
        <v>1</v>
      </c>
      <c r="E36" s="37">
        <v>310.39999999999998</v>
      </c>
      <c r="F36" s="37">
        <v>110.97</v>
      </c>
      <c r="G36" s="36">
        <v>30</v>
      </c>
      <c r="H36" s="36">
        <v>1</v>
      </c>
      <c r="I36" s="38" t="s">
        <v>21</v>
      </c>
      <c r="J36" s="38" t="s">
        <v>66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:21" ht="21.75" customHeight="1" x14ac:dyDescent="0.2">
      <c r="A37" s="15"/>
      <c r="B37" s="36" t="s">
        <v>71</v>
      </c>
      <c r="C37" s="36" t="s">
        <v>72</v>
      </c>
      <c r="D37" s="36">
        <v>1</v>
      </c>
      <c r="E37" s="37">
        <v>331.86</v>
      </c>
      <c r="F37" s="37">
        <v>194.59</v>
      </c>
      <c r="G37" s="36">
        <v>30</v>
      </c>
      <c r="H37" s="36">
        <v>1</v>
      </c>
      <c r="I37" s="38" t="s">
        <v>21</v>
      </c>
      <c r="J37" s="38" t="s">
        <v>66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1" ht="21.75" customHeight="1" x14ac:dyDescent="0.2">
      <c r="A38" s="15"/>
      <c r="B38" s="36" t="s">
        <v>73</v>
      </c>
      <c r="C38" s="36" t="s">
        <v>74</v>
      </c>
      <c r="D38" s="36">
        <v>1</v>
      </c>
      <c r="E38" s="37">
        <v>419.48</v>
      </c>
      <c r="F38" s="37">
        <v>189.72</v>
      </c>
      <c r="G38" s="36">
        <v>30</v>
      </c>
      <c r="H38" s="36">
        <v>1</v>
      </c>
      <c r="I38" s="38" t="s">
        <v>21</v>
      </c>
      <c r="J38" s="38" t="s">
        <v>66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:21" ht="19.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21" ht="19.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1:21" ht="25.5" customHeight="1" x14ac:dyDescent="0.2">
      <c r="A41" s="15"/>
      <c r="B41" s="59" t="s">
        <v>75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</row>
    <row r="42" spans="1:21" ht="21.75" customHeight="1" x14ac:dyDescent="0.2">
      <c r="A42" s="15"/>
      <c r="B42" s="60" t="s">
        <v>76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 ht="21.75" customHeight="1" x14ac:dyDescent="0.2">
      <c r="A43" s="15"/>
      <c r="B43" s="61" t="s">
        <v>77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</row>
    <row r="44" spans="1:21" ht="21.75" customHeight="1" x14ac:dyDescent="0.2">
      <c r="A44" s="15"/>
      <c r="B44" s="60" t="s">
        <v>78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1:21" ht="21.75" customHeight="1" x14ac:dyDescent="0.2">
      <c r="A45" s="15"/>
      <c r="B45" s="61" t="s">
        <v>79</v>
      </c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</row>
    <row r="46" spans="1:21" ht="21.75" customHeight="1" x14ac:dyDescent="0.2">
      <c r="A46" s="15"/>
      <c r="B46" s="62" t="s">
        <v>80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</row>
    <row r="47" spans="1:21" ht="21.75" customHeight="1" x14ac:dyDescent="0.2">
      <c r="A47" s="15"/>
      <c r="B47" s="63" t="s">
        <v>81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</row>
    <row r="48" spans="1:21" ht="19.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1:21" ht="19.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1:21" ht="19.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1:21" ht="19.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1:21" ht="19.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pans="1:21" ht="19.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1:21" ht="19.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pans="1:21" ht="19.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 ht="19.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1:21" ht="19.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 ht="19.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1:21" ht="19.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 ht="19.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1" ht="19.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 ht="19.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1" ht="19.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1" ht="19.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</sheetData>
  <mergeCells count="30">
    <mergeCell ref="B43:U43"/>
    <mergeCell ref="B44:U44"/>
    <mergeCell ref="B45:U45"/>
    <mergeCell ref="B46:U46"/>
    <mergeCell ref="B47:U47"/>
    <mergeCell ref="B11:J11"/>
    <mergeCell ref="K11:U11"/>
    <mergeCell ref="B22:U22"/>
    <mergeCell ref="B41:U41"/>
    <mergeCell ref="B42:U42"/>
    <mergeCell ref="Q7:S8"/>
    <mergeCell ref="B9:D9"/>
    <mergeCell ref="E9:G9"/>
    <mergeCell ref="H9:J9"/>
    <mergeCell ref="K9:M9"/>
    <mergeCell ref="N9:P9"/>
    <mergeCell ref="Q9:S9"/>
    <mergeCell ref="B7:D8"/>
    <mergeCell ref="E7:G8"/>
    <mergeCell ref="H7:J8"/>
    <mergeCell ref="K7:M8"/>
    <mergeCell ref="N7:P8"/>
    <mergeCell ref="B2:U2"/>
    <mergeCell ref="B3:U3"/>
    <mergeCell ref="B5:D6"/>
    <mergeCell ref="E5:G6"/>
    <mergeCell ref="H5:J6"/>
    <mergeCell ref="K5:M6"/>
    <mergeCell ref="N5:P6"/>
    <mergeCell ref="Q5:S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6CA8"/>
  </sheetPr>
  <dimension ref="A1:AC501"/>
  <sheetViews>
    <sheetView zoomScaleNormal="100" workbookViewId="0">
      <pane ySplit="1" topLeftCell="A284" activePane="bottomLeft" state="frozen"/>
      <selection pane="bottomLeft" activeCell="R5" sqref="R5"/>
    </sheetView>
  </sheetViews>
  <sheetFormatPr baseColWidth="10" defaultColWidth="8.6640625" defaultRowHeight="15" x14ac:dyDescent="0.2"/>
  <cols>
    <col min="1" max="1" width="12" customWidth="1"/>
    <col min="2" max="2" width="14.6640625" customWidth="1"/>
    <col min="3" max="3" width="14" customWidth="1"/>
    <col min="4" max="4" width="12" customWidth="1"/>
    <col min="5" max="5" width="13.83203125" customWidth="1"/>
    <col min="6" max="7" width="18" customWidth="1"/>
    <col min="8" max="10" width="14" customWidth="1"/>
    <col min="11" max="11" width="12" customWidth="1"/>
    <col min="12" max="14" width="14" customWidth="1"/>
    <col min="15" max="15" width="19.33203125" customWidth="1"/>
    <col min="16" max="16" width="13.83203125" customWidth="1"/>
    <col min="17" max="17" width="13.33203125" customWidth="1"/>
    <col min="18" max="18" width="19.5" customWidth="1"/>
  </cols>
  <sheetData>
    <row r="1" spans="1:29" ht="27.75" customHeight="1" x14ac:dyDescent="0.2">
      <c r="A1" s="39" t="s">
        <v>82</v>
      </c>
      <c r="B1" s="39" t="s">
        <v>36</v>
      </c>
      <c r="C1" s="39" t="s">
        <v>37</v>
      </c>
      <c r="D1" s="39" t="s">
        <v>83</v>
      </c>
      <c r="E1" s="39" t="s">
        <v>84</v>
      </c>
      <c r="F1" s="39" t="s">
        <v>9</v>
      </c>
      <c r="G1" s="39" t="s">
        <v>85</v>
      </c>
      <c r="H1" s="39" t="s">
        <v>86</v>
      </c>
      <c r="I1" s="39" t="s">
        <v>15</v>
      </c>
      <c r="J1" s="39" t="s">
        <v>87</v>
      </c>
      <c r="K1" s="39" t="s">
        <v>88</v>
      </c>
      <c r="L1" s="39" t="s">
        <v>89</v>
      </c>
      <c r="M1" s="39" t="s">
        <v>90</v>
      </c>
      <c r="N1" s="39" t="s">
        <v>91</v>
      </c>
      <c r="O1" s="39" t="s">
        <v>92</v>
      </c>
      <c r="P1" s="39" t="s">
        <v>93</v>
      </c>
      <c r="Q1" s="39" t="s">
        <v>94</v>
      </c>
      <c r="R1" s="39" t="s">
        <v>95</v>
      </c>
    </row>
    <row r="2" spans="1:29" x14ac:dyDescent="0.2">
      <c r="A2" s="36" t="s">
        <v>96</v>
      </c>
      <c r="B2" s="36" t="s">
        <v>97</v>
      </c>
      <c r="C2" s="36" t="s">
        <v>98</v>
      </c>
      <c r="D2" s="40">
        <v>45731</v>
      </c>
      <c r="E2" s="36" t="s">
        <v>99</v>
      </c>
      <c r="F2" s="36" t="s">
        <v>27</v>
      </c>
      <c r="G2" s="36" t="s">
        <v>100</v>
      </c>
      <c r="H2" s="36" t="s">
        <v>23</v>
      </c>
      <c r="I2" s="36" t="s">
        <v>23</v>
      </c>
      <c r="J2" s="36" t="s">
        <v>101</v>
      </c>
      <c r="K2" s="36" t="s">
        <v>102</v>
      </c>
      <c r="L2" s="37">
        <v>322.57</v>
      </c>
      <c r="M2" s="37">
        <v>326.14</v>
      </c>
      <c r="N2" s="37">
        <v>3.57</v>
      </c>
      <c r="O2" s="36" t="s">
        <v>103</v>
      </c>
      <c r="P2" s="36">
        <v>1</v>
      </c>
      <c r="Q2" s="41">
        <f t="shared" ref="Q2:Q65" si="0">IF(L2=0,0,M2/L2)</f>
        <v>1.0110673652230524</v>
      </c>
      <c r="R2" s="38">
        <f t="shared" ref="R2:R65" si="1">IF(O2="YES",30,0)+IF(Q2&gt;3,25,IF(Q2&gt;2,10,0))+IF(K2="No",20,0)+IF(L2&gt;1000,15,IF(L2&gt;500,7,0))+IF(G2="Unknown-Device",10,0)</f>
        <v>0</v>
      </c>
    </row>
    <row r="3" spans="1:29" x14ac:dyDescent="0.2">
      <c r="A3" s="42" t="s">
        <v>104</v>
      </c>
      <c r="B3" s="42" t="s">
        <v>105</v>
      </c>
      <c r="C3" s="42" t="s">
        <v>106</v>
      </c>
      <c r="D3" s="43">
        <v>45805</v>
      </c>
      <c r="E3" s="42" t="s">
        <v>107</v>
      </c>
      <c r="F3" s="42" t="s">
        <v>19</v>
      </c>
      <c r="G3" s="42" t="s">
        <v>108</v>
      </c>
      <c r="H3" s="42" t="s">
        <v>28</v>
      </c>
      <c r="I3" s="42" t="s">
        <v>28</v>
      </c>
      <c r="J3" s="42" t="s">
        <v>109</v>
      </c>
      <c r="K3" s="42" t="s">
        <v>103</v>
      </c>
      <c r="L3" s="44">
        <v>87.41</v>
      </c>
      <c r="M3" s="44">
        <v>84.95</v>
      </c>
      <c r="N3" s="44">
        <v>-2.46</v>
      </c>
      <c r="O3" s="42" t="s">
        <v>103</v>
      </c>
      <c r="P3" s="42">
        <v>0</v>
      </c>
      <c r="Q3" s="45">
        <f t="shared" si="0"/>
        <v>0.9718567669603021</v>
      </c>
      <c r="R3" s="46">
        <f t="shared" si="1"/>
        <v>20</v>
      </c>
      <c r="S3" s="77" t="s">
        <v>1634</v>
      </c>
      <c r="T3" s="78"/>
      <c r="U3" s="78"/>
      <c r="V3" s="78"/>
      <c r="W3" s="78"/>
      <c r="X3" s="78"/>
      <c r="Y3" s="78"/>
      <c r="Z3" s="78"/>
      <c r="AA3" s="78"/>
      <c r="AB3" s="78"/>
      <c r="AC3" s="78"/>
    </row>
    <row r="4" spans="1:29" x14ac:dyDescent="0.2">
      <c r="A4" s="36" t="s">
        <v>110</v>
      </c>
      <c r="B4" s="36" t="s">
        <v>111</v>
      </c>
      <c r="C4" s="36" t="s">
        <v>112</v>
      </c>
      <c r="D4" s="40">
        <v>45985</v>
      </c>
      <c r="E4" s="36" t="s">
        <v>113</v>
      </c>
      <c r="F4" s="36" t="s">
        <v>33</v>
      </c>
      <c r="G4" s="36" t="s">
        <v>114</v>
      </c>
      <c r="H4" s="36" t="s">
        <v>34</v>
      </c>
      <c r="I4" s="36" t="s">
        <v>34</v>
      </c>
      <c r="J4" s="36" t="s">
        <v>115</v>
      </c>
      <c r="K4" s="36" t="s">
        <v>102</v>
      </c>
      <c r="L4" s="37">
        <v>132.55000000000001</v>
      </c>
      <c r="M4" s="37">
        <v>246.5</v>
      </c>
      <c r="N4" s="37">
        <v>113.95</v>
      </c>
      <c r="O4" s="36" t="s">
        <v>103</v>
      </c>
      <c r="P4" s="36">
        <v>2</v>
      </c>
      <c r="Q4" s="41">
        <f t="shared" si="0"/>
        <v>1.8596755941154279</v>
      </c>
      <c r="R4" s="38">
        <f t="shared" si="1"/>
        <v>0</v>
      </c>
      <c r="S4" s="79"/>
      <c r="T4" s="78"/>
      <c r="U4" s="78"/>
      <c r="V4" s="78"/>
      <c r="W4" s="78"/>
      <c r="X4" s="78"/>
      <c r="Y4" s="78"/>
      <c r="Z4" s="78"/>
      <c r="AA4" s="78"/>
      <c r="AB4" s="78"/>
      <c r="AC4" s="78"/>
    </row>
    <row r="5" spans="1:29" x14ac:dyDescent="0.2">
      <c r="A5" s="42" t="s">
        <v>116</v>
      </c>
      <c r="B5" s="42" t="s">
        <v>117</v>
      </c>
      <c r="C5" s="42" t="s">
        <v>118</v>
      </c>
      <c r="D5" s="43">
        <v>45712</v>
      </c>
      <c r="E5" s="42" t="s">
        <v>119</v>
      </c>
      <c r="F5" s="42" t="s">
        <v>27</v>
      </c>
      <c r="G5" s="42" t="s">
        <v>120</v>
      </c>
      <c r="H5" s="42" t="s">
        <v>34</v>
      </c>
      <c r="I5" s="42" t="s">
        <v>34</v>
      </c>
      <c r="J5" s="42" t="s">
        <v>121</v>
      </c>
      <c r="K5" s="42" t="s">
        <v>103</v>
      </c>
      <c r="L5" s="44">
        <v>290.24</v>
      </c>
      <c r="M5" s="44">
        <v>367.03</v>
      </c>
      <c r="N5" s="44">
        <v>76.790000000000006</v>
      </c>
      <c r="O5" s="42" t="s">
        <v>103</v>
      </c>
      <c r="P5" s="42">
        <v>1</v>
      </c>
      <c r="Q5" s="45">
        <f t="shared" si="0"/>
        <v>1.2645741455347297</v>
      </c>
      <c r="R5" s="46">
        <f t="shared" si="1"/>
        <v>20</v>
      </c>
      <c r="S5" s="79"/>
      <c r="T5" s="78"/>
      <c r="U5" s="78"/>
      <c r="V5" s="78"/>
      <c r="W5" s="78"/>
      <c r="X5" s="78"/>
      <c r="Y5" s="78"/>
      <c r="Z5" s="78"/>
      <c r="AA5" s="78"/>
      <c r="AB5" s="78"/>
      <c r="AC5" s="78"/>
    </row>
    <row r="6" spans="1:29" x14ac:dyDescent="0.2">
      <c r="A6" s="36" t="s">
        <v>122</v>
      </c>
      <c r="B6" s="36" t="s">
        <v>123</v>
      </c>
      <c r="C6" s="36" t="s">
        <v>124</v>
      </c>
      <c r="D6" s="40">
        <v>46082</v>
      </c>
      <c r="E6" s="36" t="s">
        <v>125</v>
      </c>
      <c r="F6" s="36" t="s">
        <v>27</v>
      </c>
      <c r="G6" s="36" t="s">
        <v>126</v>
      </c>
      <c r="H6" s="36" t="s">
        <v>34</v>
      </c>
      <c r="I6" s="36" t="s">
        <v>34</v>
      </c>
      <c r="J6" s="36" t="s">
        <v>121</v>
      </c>
      <c r="K6" s="36" t="s">
        <v>102</v>
      </c>
      <c r="L6" s="37">
        <v>144.5</v>
      </c>
      <c r="M6" s="37">
        <v>179.91</v>
      </c>
      <c r="N6" s="37">
        <v>35.409999999999997</v>
      </c>
      <c r="O6" s="36" t="s">
        <v>103</v>
      </c>
      <c r="P6" s="36">
        <v>0</v>
      </c>
      <c r="Q6" s="41">
        <f t="shared" si="0"/>
        <v>1.2450519031141869</v>
      </c>
      <c r="R6" s="38">
        <f t="shared" si="1"/>
        <v>10</v>
      </c>
      <c r="S6" s="79"/>
      <c r="T6" s="78"/>
      <c r="U6" s="78"/>
      <c r="V6" s="78"/>
      <c r="W6" s="78"/>
      <c r="X6" s="78"/>
      <c r="Y6" s="78"/>
      <c r="Z6" s="78"/>
      <c r="AA6" s="78"/>
      <c r="AB6" s="78"/>
      <c r="AC6" s="78"/>
    </row>
    <row r="7" spans="1:29" x14ac:dyDescent="0.2">
      <c r="A7" s="42" t="s">
        <v>127</v>
      </c>
      <c r="B7" s="42" t="s">
        <v>128</v>
      </c>
      <c r="C7" s="42" t="s">
        <v>129</v>
      </c>
      <c r="D7" s="43">
        <v>45968</v>
      </c>
      <c r="E7" s="42" t="s">
        <v>130</v>
      </c>
      <c r="F7" s="42" t="s">
        <v>22</v>
      </c>
      <c r="G7" s="42" t="s">
        <v>131</v>
      </c>
      <c r="H7" s="42" t="s">
        <v>32</v>
      </c>
      <c r="I7" s="42" t="s">
        <v>32</v>
      </c>
      <c r="J7" s="42" t="s">
        <v>132</v>
      </c>
      <c r="K7" s="42" t="s">
        <v>102</v>
      </c>
      <c r="L7" s="44">
        <v>418.09</v>
      </c>
      <c r="M7" s="44">
        <v>830.52</v>
      </c>
      <c r="N7" s="44">
        <v>412.43</v>
      </c>
      <c r="O7" s="42" t="s">
        <v>103</v>
      </c>
      <c r="P7" s="42">
        <v>0</v>
      </c>
      <c r="Q7" s="45">
        <f t="shared" si="0"/>
        <v>1.9864622449711786</v>
      </c>
      <c r="R7" s="46">
        <f t="shared" si="1"/>
        <v>0</v>
      </c>
      <c r="S7" s="79"/>
      <c r="T7" s="78"/>
      <c r="U7" s="78"/>
      <c r="V7" s="78"/>
      <c r="W7" s="78"/>
      <c r="X7" s="78"/>
      <c r="Y7" s="78"/>
      <c r="Z7" s="78"/>
      <c r="AA7" s="78"/>
      <c r="AB7" s="78"/>
      <c r="AC7" s="78"/>
    </row>
    <row r="8" spans="1:29" x14ac:dyDescent="0.2">
      <c r="A8" s="36" t="s">
        <v>133</v>
      </c>
      <c r="B8" s="36" t="s">
        <v>134</v>
      </c>
      <c r="C8" s="36" t="s">
        <v>135</v>
      </c>
      <c r="D8" s="40">
        <v>46068</v>
      </c>
      <c r="E8" s="36" t="s">
        <v>136</v>
      </c>
      <c r="F8" s="36" t="s">
        <v>27</v>
      </c>
      <c r="G8" s="36" t="s">
        <v>126</v>
      </c>
      <c r="H8" s="36" t="s">
        <v>34</v>
      </c>
      <c r="I8" s="36" t="s">
        <v>34</v>
      </c>
      <c r="J8" s="36" t="s">
        <v>121</v>
      </c>
      <c r="K8" s="36" t="s">
        <v>102</v>
      </c>
      <c r="L8" s="37">
        <v>321.94</v>
      </c>
      <c r="M8" s="37">
        <v>439.76</v>
      </c>
      <c r="N8" s="37">
        <v>117.82</v>
      </c>
      <c r="O8" s="36" t="s">
        <v>103</v>
      </c>
      <c r="P8" s="36">
        <v>0</v>
      </c>
      <c r="Q8" s="41">
        <f t="shared" si="0"/>
        <v>1.3659688140647326</v>
      </c>
      <c r="R8" s="38">
        <f t="shared" si="1"/>
        <v>10</v>
      </c>
      <c r="S8" s="79"/>
      <c r="T8" s="78"/>
      <c r="U8" s="78"/>
      <c r="V8" s="78"/>
      <c r="W8" s="78"/>
      <c r="X8" s="78"/>
      <c r="Y8" s="78"/>
      <c r="Z8" s="78"/>
      <c r="AA8" s="78"/>
      <c r="AB8" s="78"/>
      <c r="AC8" s="78"/>
    </row>
    <row r="9" spans="1:29" x14ac:dyDescent="0.2">
      <c r="A9" s="42" t="s">
        <v>137</v>
      </c>
      <c r="B9" s="42" t="s">
        <v>64</v>
      </c>
      <c r="C9" s="42" t="s">
        <v>65</v>
      </c>
      <c r="D9" s="43">
        <v>45995</v>
      </c>
      <c r="E9" s="42" t="s">
        <v>138</v>
      </c>
      <c r="F9" s="42" t="s">
        <v>27</v>
      </c>
      <c r="G9" s="42" t="s">
        <v>126</v>
      </c>
      <c r="H9" s="42" t="s">
        <v>34</v>
      </c>
      <c r="I9" s="42" t="s">
        <v>34</v>
      </c>
      <c r="J9" s="42" t="s">
        <v>121</v>
      </c>
      <c r="K9" s="42" t="s">
        <v>103</v>
      </c>
      <c r="L9" s="44">
        <v>77.02</v>
      </c>
      <c r="M9" s="44">
        <v>16.46</v>
      </c>
      <c r="N9" s="44">
        <v>-60.56</v>
      </c>
      <c r="O9" s="42" t="s">
        <v>103</v>
      </c>
      <c r="P9" s="42">
        <v>0</v>
      </c>
      <c r="Q9" s="45">
        <f t="shared" si="0"/>
        <v>0.21371072448714623</v>
      </c>
      <c r="R9" s="46">
        <f t="shared" si="1"/>
        <v>30</v>
      </c>
      <c r="S9" s="79"/>
      <c r="T9" s="78"/>
      <c r="U9" s="78"/>
      <c r="V9" s="78"/>
      <c r="W9" s="78"/>
      <c r="X9" s="78"/>
      <c r="Y9" s="78"/>
      <c r="Z9" s="78"/>
      <c r="AA9" s="78"/>
      <c r="AB9" s="78"/>
      <c r="AC9" s="78"/>
    </row>
    <row r="10" spans="1:29" x14ac:dyDescent="0.2">
      <c r="A10" s="36" t="s">
        <v>139</v>
      </c>
      <c r="B10" s="36" t="s">
        <v>140</v>
      </c>
      <c r="C10" s="36" t="s">
        <v>141</v>
      </c>
      <c r="D10" s="40">
        <v>45816</v>
      </c>
      <c r="E10" s="36" t="s">
        <v>142</v>
      </c>
      <c r="F10" s="36" t="s">
        <v>25</v>
      </c>
      <c r="G10" s="36" t="s">
        <v>120</v>
      </c>
      <c r="H10" s="36" t="s">
        <v>30</v>
      </c>
      <c r="I10" s="36" t="s">
        <v>30</v>
      </c>
      <c r="J10" s="36" t="s">
        <v>143</v>
      </c>
      <c r="K10" s="36" t="s">
        <v>102</v>
      </c>
      <c r="L10" s="37">
        <v>293.99</v>
      </c>
      <c r="M10" s="37">
        <v>473.67</v>
      </c>
      <c r="N10" s="37">
        <v>179.68</v>
      </c>
      <c r="O10" s="36" t="s">
        <v>103</v>
      </c>
      <c r="P10" s="36">
        <v>2</v>
      </c>
      <c r="Q10" s="41">
        <f t="shared" si="0"/>
        <v>1.6111772509269022</v>
      </c>
      <c r="R10" s="38">
        <f t="shared" si="1"/>
        <v>0</v>
      </c>
      <c r="S10" s="79"/>
      <c r="T10" s="78"/>
      <c r="U10" s="78"/>
      <c r="V10" s="78"/>
      <c r="W10" s="78"/>
      <c r="X10" s="78"/>
      <c r="Y10" s="78"/>
      <c r="Z10" s="78"/>
      <c r="AA10" s="78"/>
      <c r="AB10" s="78"/>
      <c r="AC10" s="78"/>
    </row>
    <row r="11" spans="1:29" x14ac:dyDescent="0.2">
      <c r="A11" s="42" t="s">
        <v>144</v>
      </c>
      <c r="B11" s="42" t="s">
        <v>145</v>
      </c>
      <c r="C11" s="42" t="s">
        <v>146</v>
      </c>
      <c r="D11" s="43">
        <v>46040</v>
      </c>
      <c r="E11" s="42" t="s">
        <v>147</v>
      </c>
      <c r="F11" s="42" t="s">
        <v>19</v>
      </c>
      <c r="G11" s="42" t="s">
        <v>108</v>
      </c>
      <c r="H11" s="42" t="s">
        <v>34</v>
      </c>
      <c r="I11" s="42" t="s">
        <v>34</v>
      </c>
      <c r="J11" s="42" t="s">
        <v>121</v>
      </c>
      <c r="K11" s="42" t="s">
        <v>102</v>
      </c>
      <c r="L11" s="44">
        <v>108.39</v>
      </c>
      <c r="M11" s="44">
        <v>187.55</v>
      </c>
      <c r="N11" s="44">
        <v>79.16</v>
      </c>
      <c r="O11" s="42" t="s">
        <v>103</v>
      </c>
      <c r="P11" s="42">
        <v>2</v>
      </c>
      <c r="Q11" s="45">
        <f t="shared" si="0"/>
        <v>1.7303256758003507</v>
      </c>
      <c r="R11" s="46">
        <f t="shared" si="1"/>
        <v>0</v>
      </c>
      <c r="S11" s="79"/>
      <c r="T11" s="78"/>
      <c r="U11" s="78"/>
      <c r="V11" s="78"/>
      <c r="W11" s="78"/>
      <c r="X11" s="78"/>
      <c r="Y11" s="78"/>
      <c r="Z11" s="78"/>
      <c r="AA11" s="78"/>
      <c r="AB11" s="78"/>
      <c r="AC11" s="78"/>
    </row>
    <row r="12" spans="1:29" x14ac:dyDescent="0.2">
      <c r="A12" s="36" t="s">
        <v>148</v>
      </c>
      <c r="B12" s="36" t="s">
        <v>149</v>
      </c>
      <c r="C12" s="36" t="s">
        <v>150</v>
      </c>
      <c r="D12" s="40">
        <v>45797</v>
      </c>
      <c r="E12" s="36" t="s">
        <v>151</v>
      </c>
      <c r="F12" s="36" t="s">
        <v>22</v>
      </c>
      <c r="G12" s="36" t="s">
        <v>120</v>
      </c>
      <c r="H12" s="36" t="s">
        <v>34</v>
      </c>
      <c r="I12" s="36" t="s">
        <v>34</v>
      </c>
      <c r="J12" s="36" t="s">
        <v>152</v>
      </c>
      <c r="K12" s="36" t="s">
        <v>103</v>
      </c>
      <c r="L12" s="37">
        <v>457.88</v>
      </c>
      <c r="M12" s="37">
        <v>951.11</v>
      </c>
      <c r="N12" s="37">
        <v>493.23</v>
      </c>
      <c r="O12" s="36" t="s">
        <v>103</v>
      </c>
      <c r="P12" s="36">
        <v>0</v>
      </c>
      <c r="Q12" s="41">
        <f t="shared" si="0"/>
        <v>2.0772036341399494</v>
      </c>
      <c r="R12" s="38">
        <f t="shared" si="1"/>
        <v>30</v>
      </c>
      <c r="S12" s="79"/>
      <c r="T12" s="78"/>
      <c r="U12" s="78"/>
      <c r="V12" s="78"/>
      <c r="W12" s="78"/>
      <c r="X12" s="78"/>
      <c r="Y12" s="78"/>
      <c r="Z12" s="78"/>
      <c r="AA12" s="78"/>
      <c r="AB12" s="78"/>
      <c r="AC12" s="78"/>
    </row>
    <row r="13" spans="1:29" x14ac:dyDescent="0.2">
      <c r="A13" s="42" t="s">
        <v>153</v>
      </c>
      <c r="B13" s="42" t="s">
        <v>154</v>
      </c>
      <c r="C13" s="42" t="s">
        <v>155</v>
      </c>
      <c r="D13" s="43">
        <v>45831</v>
      </c>
      <c r="E13" s="42" t="s">
        <v>156</v>
      </c>
      <c r="F13" s="42" t="s">
        <v>33</v>
      </c>
      <c r="G13" s="42" t="s">
        <v>126</v>
      </c>
      <c r="H13" s="42" t="s">
        <v>23</v>
      </c>
      <c r="I13" s="42" t="s">
        <v>23</v>
      </c>
      <c r="J13" s="42" t="s">
        <v>101</v>
      </c>
      <c r="K13" s="42" t="s">
        <v>102</v>
      </c>
      <c r="L13" s="44">
        <v>481.82</v>
      </c>
      <c r="M13" s="44">
        <v>149.19999999999999</v>
      </c>
      <c r="N13" s="44">
        <v>-332.62</v>
      </c>
      <c r="O13" s="42" t="s">
        <v>103</v>
      </c>
      <c r="P13" s="42">
        <v>0</v>
      </c>
      <c r="Q13" s="45">
        <f t="shared" si="0"/>
        <v>0.30965920883317422</v>
      </c>
      <c r="R13" s="46">
        <f t="shared" si="1"/>
        <v>10</v>
      </c>
      <c r="S13" s="79"/>
      <c r="T13" s="78"/>
      <c r="U13" s="78"/>
      <c r="V13" s="78"/>
      <c r="W13" s="78"/>
      <c r="X13" s="78"/>
      <c r="Y13" s="78"/>
      <c r="Z13" s="78"/>
      <c r="AA13" s="78"/>
      <c r="AB13" s="78"/>
      <c r="AC13" s="78"/>
    </row>
    <row r="14" spans="1:29" x14ac:dyDescent="0.2">
      <c r="A14" s="36" t="s">
        <v>157</v>
      </c>
      <c r="B14" s="36" t="s">
        <v>158</v>
      </c>
      <c r="C14" s="36" t="s">
        <v>159</v>
      </c>
      <c r="D14" s="40">
        <v>46003</v>
      </c>
      <c r="E14" s="36" t="s">
        <v>160</v>
      </c>
      <c r="F14" s="36" t="s">
        <v>22</v>
      </c>
      <c r="G14" s="36" t="s">
        <v>114</v>
      </c>
      <c r="H14" s="36" t="s">
        <v>28</v>
      </c>
      <c r="I14" s="36" t="s">
        <v>28</v>
      </c>
      <c r="J14" s="36" t="s">
        <v>109</v>
      </c>
      <c r="K14" s="36" t="s">
        <v>102</v>
      </c>
      <c r="L14" s="37">
        <v>404.25</v>
      </c>
      <c r="M14" s="37">
        <v>325.3</v>
      </c>
      <c r="N14" s="37">
        <v>-78.95</v>
      </c>
      <c r="O14" s="36" t="s">
        <v>103</v>
      </c>
      <c r="P14" s="36">
        <v>0</v>
      </c>
      <c r="Q14" s="41">
        <f t="shared" si="0"/>
        <v>0.80470006184291898</v>
      </c>
      <c r="R14" s="38">
        <f t="shared" si="1"/>
        <v>0</v>
      </c>
      <c r="S14" s="79"/>
      <c r="T14" s="78"/>
      <c r="U14" s="78"/>
      <c r="V14" s="78"/>
      <c r="W14" s="78"/>
      <c r="X14" s="78"/>
      <c r="Y14" s="78"/>
      <c r="Z14" s="78"/>
      <c r="AA14" s="78"/>
      <c r="AB14" s="78"/>
      <c r="AC14" s="78"/>
    </row>
    <row r="15" spans="1:29" x14ac:dyDescent="0.2">
      <c r="A15" s="42" t="s">
        <v>161</v>
      </c>
      <c r="B15" s="42" t="s">
        <v>162</v>
      </c>
      <c r="C15" s="42" t="s">
        <v>163</v>
      </c>
      <c r="D15" s="43">
        <v>45793</v>
      </c>
      <c r="E15" s="42" t="s">
        <v>164</v>
      </c>
      <c r="F15" s="42" t="s">
        <v>27</v>
      </c>
      <c r="G15" s="42" t="s">
        <v>120</v>
      </c>
      <c r="H15" s="42" t="s">
        <v>34</v>
      </c>
      <c r="I15" s="42" t="s">
        <v>34</v>
      </c>
      <c r="J15" s="42" t="s">
        <v>121</v>
      </c>
      <c r="K15" s="42" t="s">
        <v>102</v>
      </c>
      <c r="L15" s="44">
        <v>232.85</v>
      </c>
      <c r="M15" s="44">
        <v>344.67</v>
      </c>
      <c r="N15" s="44">
        <v>111.82</v>
      </c>
      <c r="O15" s="42" t="s">
        <v>103</v>
      </c>
      <c r="P15" s="42">
        <v>0</v>
      </c>
      <c r="Q15" s="45">
        <f t="shared" si="0"/>
        <v>1.4802233197337342</v>
      </c>
      <c r="R15" s="46">
        <f t="shared" si="1"/>
        <v>0</v>
      </c>
      <c r="S15" s="79"/>
      <c r="T15" s="78"/>
      <c r="U15" s="78"/>
      <c r="V15" s="78"/>
      <c r="W15" s="78"/>
      <c r="X15" s="78"/>
      <c r="Y15" s="78"/>
      <c r="Z15" s="78"/>
      <c r="AA15" s="78"/>
      <c r="AB15" s="78"/>
      <c r="AC15" s="78"/>
    </row>
    <row r="16" spans="1:29" x14ac:dyDescent="0.2">
      <c r="A16" s="36" t="s">
        <v>165</v>
      </c>
      <c r="B16" s="36" t="s">
        <v>97</v>
      </c>
      <c r="C16" s="36" t="s">
        <v>98</v>
      </c>
      <c r="D16" s="40">
        <v>45853</v>
      </c>
      <c r="E16" s="36" t="s">
        <v>166</v>
      </c>
      <c r="F16" s="36" t="s">
        <v>25</v>
      </c>
      <c r="G16" s="36" t="s">
        <v>108</v>
      </c>
      <c r="H16" s="36" t="s">
        <v>23</v>
      </c>
      <c r="I16" s="36" t="s">
        <v>23</v>
      </c>
      <c r="J16" s="36" t="s">
        <v>101</v>
      </c>
      <c r="K16" s="36" t="s">
        <v>102</v>
      </c>
      <c r="L16" s="37">
        <v>63.09</v>
      </c>
      <c r="M16" s="37">
        <v>32.450000000000003</v>
      </c>
      <c r="N16" s="37">
        <v>-30.64</v>
      </c>
      <c r="O16" s="36" t="s">
        <v>103</v>
      </c>
      <c r="P16" s="36">
        <v>1</v>
      </c>
      <c r="Q16" s="41">
        <f t="shared" si="0"/>
        <v>0.51434458709779685</v>
      </c>
      <c r="R16" s="38">
        <f t="shared" si="1"/>
        <v>0</v>
      </c>
      <c r="S16" s="79"/>
      <c r="T16" s="78"/>
      <c r="U16" s="78"/>
      <c r="V16" s="78"/>
      <c r="W16" s="78"/>
      <c r="X16" s="78"/>
      <c r="Y16" s="78"/>
      <c r="Z16" s="78"/>
      <c r="AA16" s="78"/>
      <c r="AB16" s="78"/>
      <c r="AC16" s="78"/>
    </row>
    <row r="17" spans="1:29" x14ac:dyDescent="0.2">
      <c r="A17" s="42" t="s">
        <v>167</v>
      </c>
      <c r="B17" s="42" t="s">
        <v>168</v>
      </c>
      <c r="C17" s="42" t="s">
        <v>169</v>
      </c>
      <c r="D17" s="43">
        <v>45825</v>
      </c>
      <c r="E17" s="42" t="s">
        <v>170</v>
      </c>
      <c r="F17" s="42" t="s">
        <v>29</v>
      </c>
      <c r="G17" s="42" t="s">
        <v>126</v>
      </c>
      <c r="H17" s="42" t="s">
        <v>34</v>
      </c>
      <c r="I17" s="42" t="s">
        <v>34</v>
      </c>
      <c r="J17" s="42" t="s">
        <v>121</v>
      </c>
      <c r="K17" s="42" t="s">
        <v>102</v>
      </c>
      <c r="L17" s="44">
        <v>327.35000000000002</v>
      </c>
      <c r="M17" s="44">
        <v>457.6</v>
      </c>
      <c r="N17" s="44">
        <v>130.25</v>
      </c>
      <c r="O17" s="42" t="s">
        <v>103</v>
      </c>
      <c r="P17" s="42">
        <v>3</v>
      </c>
      <c r="Q17" s="45">
        <f t="shared" si="0"/>
        <v>1.3978921643500839</v>
      </c>
      <c r="R17" s="46">
        <f t="shared" si="1"/>
        <v>10</v>
      </c>
      <c r="S17" s="79"/>
      <c r="T17" s="78"/>
      <c r="U17" s="78"/>
      <c r="V17" s="78"/>
      <c r="W17" s="78"/>
      <c r="X17" s="78"/>
      <c r="Y17" s="78"/>
      <c r="Z17" s="78"/>
      <c r="AA17" s="78"/>
      <c r="AB17" s="78"/>
      <c r="AC17" s="78"/>
    </row>
    <row r="18" spans="1:29" x14ac:dyDescent="0.2">
      <c r="A18" s="36" t="s">
        <v>171</v>
      </c>
      <c r="B18" s="36" t="s">
        <v>172</v>
      </c>
      <c r="C18" s="36" t="s">
        <v>173</v>
      </c>
      <c r="D18" s="40">
        <v>45990</v>
      </c>
      <c r="E18" s="36" t="s">
        <v>174</v>
      </c>
      <c r="F18" s="36" t="s">
        <v>19</v>
      </c>
      <c r="G18" s="36" t="s">
        <v>114</v>
      </c>
      <c r="H18" s="36" t="s">
        <v>30</v>
      </c>
      <c r="I18" s="36" t="s">
        <v>30</v>
      </c>
      <c r="J18" s="36" t="s">
        <v>143</v>
      </c>
      <c r="K18" s="36" t="s">
        <v>102</v>
      </c>
      <c r="L18" s="37">
        <v>78.489999999999995</v>
      </c>
      <c r="M18" s="37">
        <v>163.4</v>
      </c>
      <c r="N18" s="37">
        <v>84.91</v>
      </c>
      <c r="O18" s="36" t="s">
        <v>103</v>
      </c>
      <c r="P18" s="36">
        <v>0</v>
      </c>
      <c r="Q18" s="41">
        <f t="shared" si="0"/>
        <v>2.0817938590903302</v>
      </c>
      <c r="R18" s="38">
        <f t="shared" si="1"/>
        <v>10</v>
      </c>
      <c r="S18" s="79"/>
      <c r="T18" s="78"/>
      <c r="U18" s="78"/>
      <c r="V18" s="78"/>
      <c r="W18" s="78"/>
      <c r="X18" s="78"/>
      <c r="Y18" s="78"/>
      <c r="Z18" s="78"/>
      <c r="AA18" s="78"/>
      <c r="AB18" s="78"/>
      <c r="AC18" s="78"/>
    </row>
    <row r="19" spans="1:29" x14ac:dyDescent="0.2">
      <c r="A19" s="42" t="s">
        <v>175</v>
      </c>
      <c r="B19" s="42" t="s">
        <v>176</v>
      </c>
      <c r="C19" s="42" t="s">
        <v>177</v>
      </c>
      <c r="D19" s="43">
        <v>45707</v>
      </c>
      <c r="E19" s="42" t="s">
        <v>178</v>
      </c>
      <c r="F19" s="42" t="s">
        <v>19</v>
      </c>
      <c r="G19" s="42" t="s">
        <v>126</v>
      </c>
      <c r="H19" s="42" t="s">
        <v>34</v>
      </c>
      <c r="I19" s="42" t="s">
        <v>34</v>
      </c>
      <c r="J19" s="42" t="s">
        <v>121</v>
      </c>
      <c r="K19" s="42" t="s">
        <v>102</v>
      </c>
      <c r="L19" s="44">
        <v>273.39999999999998</v>
      </c>
      <c r="M19" s="44">
        <v>233.76</v>
      </c>
      <c r="N19" s="44">
        <v>-39.64</v>
      </c>
      <c r="O19" s="42" t="s">
        <v>103</v>
      </c>
      <c r="P19" s="42">
        <v>0</v>
      </c>
      <c r="Q19" s="45">
        <f t="shared" si="0"/>
        <v>0.85501097293343087</v>
      </c>
      <c r="R19" s="46">
        <f t="shared" si="1"/>
        <v>10</v>
      </c>
      <c r="S19" s="79"/>
      <c r="T19" s="78"/>
      <c r="U19" s="78"/>
      <c r="V19" s="78"/>
      <c r="W19" s="78"/>
      <c r="X19" s="78"/>
      <c r="Y19" s="78"/>
      <c r="Z19" s="78"/>
      <c r="AA19" s="78"/>
      <c r="AB19" s="78"/>
      <c r="AC19" s="78"/>
    </row>
    <row r="20" spans="1:29" x14ac:dyDescent="0.2">
      <c r="A20" s="36" t="s">
        <v>179</v>
      </c>
      <c r="B20" s="36" t="s">
        <v>180</v>
      </c>
      <c r="C20" s="36" t="s">
        <v>181</v>
      </c>
      <c r="D20" s="40">
        <v>46014</v>
      </c>
      <c r="E20" s="36" t="s">
        <v>182</v>
      </c>
      <c r="F20" s="36" t="s">
        <v>29</v>
      </c>
      <c r="G20" s="36" t="s">
        <v>126</v>
      </c>
      <c r="H20" s="36" t="s">
        <v>20</v>
      </c>
      <c r="I20" s="36" t="s">
        <v>20</v>
      </c>
      <c r="J20" s="36" t="s">
        <v>183</v>
      </c>
      <c r="K20" s="36" t="s">
        <v>103</v>
      </c>
      <c r="L20" s="37">
        <v>297.8</v>
      </c>
      <c r="M20" s="37">
        <v>476.04</v>
      </c>
      <c r="N20" s="37">
        <v>178.24</v>
      </c>
      <c r="O20" s="36" t="s">
        <v>103</v>
      </c>
      <c r="P20" s="36">
        <v>0</v>
      </c>
      <c r="Q20" s="41">
        <f t="shared" si="0"/>
        <v>1.5985224983210209</v>
      </c>
      <c r="R20" s="38">
        <f t="shared" si="1"/>
        <v>30</v>
      </c>
      <c r="S20" s="79"/>
      <c r="T20" s="78"/>
      <c r="U20" s="78"/>
      <c r="V20" s="78"/>
      <c r="W20" s="78"/>
      <c r="X20" s="78"/>
      <c r="Y20" s="78"/>
      <c r="Z20" s="78"/>
      <c r="AA20" s="78"/>
      <c r="AB20" s="78"/>
      <c r="AC20" s="78"/>
    </row>
    <row r="21" spans="1:29" x14ac:dyDescent="0.2">
      <c r="A21" s="42" t="s">
        <v>184</v>
      </c>
      <c r="B21" s="42" t="s">
        <v>185</v>
      </c>
      <c r="C21" s="42" t="s">
        <v>186</v>
      </c>
      <c r="D21" s="43">
        <v>45908</v>
      </c>
      <c r="E21" s="42" t="s">
        <v>187</v>
      </c>
      <c r="F21" s="42" t="s">
        <v>27</v>
      </c>
      <c r="G21" s="42" t="s">
        <v>120</v>
      </c>
      <c r="H21" s="42" t="s">
        <v>34</v>
      </c>
      <c r="I21" s="42" t="s">
        <v>34</v>
      </c>
      <c r="J21" s="42" t="s">
        <v>188</v>
      </c>
      <c r="K21" s="42" t="s">
        <v>103</v>
      </c>
      <c r="L21" s="44">
        <v>470.14</v>
      </c>
      <c r="M21" s="44">
        <v>289.33999999999997</v>
      </c>
      <c r="N21" s="44">
        <v>-180.8</v>
      </c>
      <c r="O21" s="42" t="s">
        <v>103</v>
      </c>
      <c r="P21" s="42">
        <v>1</v>
      </c>
      <c r="Q21" s="45">
        <f t="shared" si="0"/>
        <v>0.61543370059982128</v>
      </c>
      <c r="R21" s="46">
        <f t="shared" si="1"/>
        <v>20</v>
      </c>
      <c r="S21" s="79"/>
      <c r="T21" s="78"/>
      <c r="U21" s="78"/>
      <c r="V21" s="78"/>
      <c r="W21" s="78"/>
      <c r="X21" s="78"/>
      <c r="Y21" s="78"/>
      <c r="Z21" s="78"/>
      <c r="AA21" s="78"/>
      <c r="AB21" s="78"/>
      <c r="AC21" s="78"/>
    </row>
    <row r="22" spans="1:29" x14ac:dyDescent="0.2">
      <c r="A22" s="36" t="s">
        <v>189</v>
      </c>
      <c r="B22" s="36" t="s">
        <v>190</v>
      </c>
      <c r="C22" s="36" t="s">
        <v>191</v>
      </c>
      <c r="D22" s="40">
        <v>45885</v>
      </c>
      <c r="E22" s="36" t="s">
        <v>192</v>
      </c>
      <c r="F22" s="36" t="s">
        <v>27</v>
      </c>
      <c r="G22" s="36" t="s">
        <v>120</v>
      </c>
      <c r="H22" s="36" t="s">
        <v>32</v>
      </c>
      <c r="I22" s="36" t="s">
        <v>32</v>
      </c>
      <c r="J22" s="36" t="s">
        <v>132</v>
      </c>
      <c r="K22" s="36" t="s">
        <v>102</v>
      </c>
      <c r="L22" s="37">
        <v>429.17</v>
      </c>
      <c r="M22" s="37">
        <v>93.81</v>
      </c>
      <c r="N22" s="37">
        <v>-335.36</v>
      </c>
      <c r="O22" s="36" t="s">
        <v>103</v>
      </c>
      <c r="P22" s="36">
        <v>0</v>
      </c>
      <c r="Q22" s="41">
        <f t="shared" si="0"/>
        <v>0.21858471002166974</v>
      </c>
      <c r="R22" s="38">
        <f t="shared" si="1"/>
        <v>0</v>
      </c>
      <c r="S22" s="79"/>
      <c r="T22" s="78"/>
      <c r="U22" s="78"/>
      <c r="V22" s="78"/>
      <c r="W22" s="78"/>
      <c r="X22" s="78"/>
      <c r="Y22" s="78"/>
      <c r="Z22" s="78"/>
      <c r="AA22" s="78"/>
      <c r="AB22" s="78"/>
      <c r="AC22" s="78"/>
    </row>
    <row r="23" spans="1:29" x14ac:dyDescent="0.2">
      <c r="A23" s="42" t="s">
        <v>193</v>
      </c>
      <c r="B23" s="42" t="s">
        <v>194</v>
      </c>
      <c r="C23" s="42" t="s">
        <v>195</v>
      </c>
      <c r="D23" s="43">
        <v>45988</v>
      </c>
      <c r="E23" s="42" t="s">
        <v>196</v>
      </c>
      <c r="F23" s="42" t="s">
        <v>25</v>
      </c>
      <c r="G23" s="42" t="s">
        <v>114</v>
      </c>
      <c r="H23" s="42" t="s">
        <v>34</v>
      </c>
      <c r="I23" s="42" t="s">
        <v>34</v>
      </c>
      <c r="J23" s="42" t="s">
        <v>121</v>
      </c>
      <c r="K23" s="42" t="s">
        <v>102</v>
      </c>
      <c r="L23" s="44">
        <v>205.09</v>
      </c>
      <c r="M23" s="44">
        <v>85.64</v>
      </c>
      <c r="N23" s="44">
        <v>-119.45</v>
      </c>
      <c r="O23" s="42" t="s">
        <v>103</v>
      </c>
      <c r="P23" s="42">
        <v>0</v>
      </c>
      <c r="Q23" s="45">
        <f t="shared" si="0"/>
        <v>0.417572772928958</v>
      </c>
      <c r="R23" s="46">
        <f t="shared" si="1"/>
        <v>0</v>
      </c>
      <c r="S23" s="79"/>
      <c r="T23" s="78"/>
      <c r="U23" s="78"/>
      <c r="V23" s="78"/>
      <c r="W23" s="78"/>
      <c r="X23" s="78"/>
      <c r="Y23" s="78"/>
      <c r="Z23" s="78"/>
      <c r="AA23" s="78"/>
      <c r="AB23" s="78"/>
      <c r="AC23" s="78"/>
    </row>
    <row r="24" spans="1:29" x14ac:dyDescent="0.2">
      <c r="A24" s="36" t="s">
        <v>197</v>
      </c>
      <c r="B24" s="36" t="s">
        <v>198</v>
      </c>
      <c r="C24" s="36" t="s">
        <v>199</v>
      </c>
      <c r="D24" s="40">
        <v>45997</v>
      </c>
      <c r="E24" s="36" t="s">
        <v>200</v>
      </c>
      <c r="F24" s="36" t="s">
        <v>25</v>
      </c>
      <c r="G24" s="36" t="s">
        <v>120</v>
      </c>
      <c r="H24" s="36" t="s">
        <v>28</v>
      </c>
      <c r="I24" s="36" t="s">
        <v>28</v>
      </c>
      <c r="J24" s="36" t="s">
        <v>109</v>
      </c>
      <c r="K24" s="36" t="s">
        <v>102</v>
      </c>
      <c r="L24" s="37">
        <v>323.35000000000002</v>
      </c>
      <c r="M24" s="37">
        <v>690.81</v>
      </c>
      <c r="N24" s="37">
        <v>367.46</v>
      </c>
      <c r="O24" s="36" t="s">
        <v>103</v>
      </c>
      <c r="P24" s="36">
        <v>0</v>
      </c>
      <c r="Q24" s="41">
        <f t="shared" si="0"/>
        <v>2.1364156486779029</v>
      </c>
      <c r="R24" s="38">
        <f t="shared" si="1"/>
        <v>10</v>
      </c>
      <c r="S24" s="79"/>
      <c r="T24" s="78"/>
      <c r="U24" s="78"/>
      <c r="V24" s="78"/>
      <c r="W24" s="78"/>
      <c r="X24" s="78"/>
      <c r="Y24" s="78"/>
      <c r="Z24" s="78"/>
      <c r="AA24" s="78"/>
      <c r="AB24" s="78"/>
      <c r="AC24" s="78"/>
    </row>
    <row r="25" spans="1:29" x14ac:dyDescent="0.2">
      <c r="A25" s="42" t="s">
        <v>201</v>
      </c>
      <c r="B25" s="42" t="s">
        <v>202</v>
      </c>
      <c r="C25" s="42" t="s">
        <v>203</v>
      </c>
      <c r="D25" s="43">
        <v>45722</v>
      </c>
      <c r="E25" s="42" t="s">
        <v>204</v>
      </c>
      <c r="F25" s="42" t="s">
        <v>33</v>
      </c>
      <c r="G25" s="42" t="s">
        <v>108</v>
      </c>
      <c r="H25" s="42" t="s">
        <v>34</v>
      </c>
      <c r="I25" s="42" t="s">
        <v>34</v>
      </c>
      <c r="J25" s="42" t="s">
        <v>152</v>
      </c>
      <c r="K25" s="42" t="s">
        <v>103</v>
      </c>
      <c r="L25" s="44">
        <v>43.62</v>
      </c>
      <c r="M25" s="44">
        <v>73.430000000000007</v>
      </c>
      <c r="N25" s="44">
        <v>29.81</v>
      </c>
      <c r="O25" s="42" t="s">
        <v>103</v>
      </c>
      <c r="P25" s="42">
        <v>0</v>
      </c>
      <c r="Q25" s="45">
        <f t="shared" si="0"/>
        <v>1.6834021091242553</v>
      </c>
      <c r="R25" s="46">
        <f t="shared" si="1"/>
        <v>20</v>
      </c>
      <c r="S25" s="79"/>
      <c r="T25" s="78"/>
      <c r="U25" s="78"/>
      <c r="V25" s="78"/>
      <c r="W25" s="78"/>
      <c r="X25" s="78"/>
      <c r="Y25" s="78"/>
      <c r="Z25" s="78"/>
      <c r="AA25" s="78"/>
      <c r="AB25" s="78"/>
      <c r="AC25" s="78"/>
    </row>
    <row r="26" spans="1:29" x14ac:dyDescent="0.2">
      <c r="A26" s="36" t="s">
        <v>205</v>
      </c>
      <c r="B26" s="36" t="s">
        <v>190</v>
      </c>
      <c r="C26" s="36" t="s">
        <v>191</v>
      </c>
      <c r="D26" s="40">
        <v>46074</v>
      </c>
      <c r="E26" s="36" t="s">
        <v>206</v>
      </c>
      <c r="F26" s="36" t="s">
        <v>31</v>
      </c>
      <c r="G26" s="36" t="s">
        <v>100</v>
      </c>
      <c r="H26" s="36" t="s">
        <v>32</v>
      </c>
      <c r="I26" s="36" t="s">
        <v>32</v>
      </c>
      <c r="J26" s="36" t="s">
        <v>132</v>
      </c>
      <c r="K26" s="36" t="s">
        <v>102</v>
      </c>
      <c r="L26" s="37">
        <v>389.44</v>
      </c>
      <c r="M26" s="37">
        <v>675.68</v>
      </c>
      <c r="N26" s="37">
        <v>286.24</v>
      </c>
      <c r="O26" s="36" t="s">
        <v>103</v>
      </c>
      <c r="P26" s="36">
        <v>0</v>
      </c>
      <c r="Q26" s="41">
        <f t="shared" si="0"/>
        <v>1.7350041084634344</v>
      </c>
      <c r="R26" s="38">
        <f t="shared" si="1"/>
        <v>0</v>
      </c>
    </row>
    <row r="27" spans="1:29" x14ac:dyDescent="0.2">
      <c r="A27" s="42" t="s">
        <v>207</v>
      </c>
      <c r="B27" s="42" t="s">
        <v>208</v>
      </c>
      <c r="C27" s="42" t="s">
        <v>209</v>
      </c>
      <c r="D27" s="43">
        <v>45732</v>
      </c>
      <c r="E27" s="42" t="s">
        <v>210</v>
      </c>
      <c r="F27" s="42" t="s">
        <v>27</v>
      </c>
      <c r="G27" s="42" t="s">
        <v>100</v>
      </c>
      <c r="H27" s="42" t="s">
        <v>30</v>
      </c>
      <c r="I27" s="42" t="s">
        <v>30</v>
      </c>
      <c r="J27" s="42" t="s">
        <v>143</v>
      </c>
      <c r="K27" s="42" t="s">
        <v>102</v>
      </c>
      <c r="L27" s="44">
        <v>132.82</v>
      </c>
      <c r="M27" s="44">
        <v>50.99</v>
      </c>
      <c r="N27" s="44">
        <v>-81.83</v>
      </c>
      <c r="O27" s="42" t="s">
        <v>103</v>
      </c>
      <c r="P27" s="42">
        <v>0</v>
      </c>
      <c r="Q27" s="45">
        <f t="shared" si="0"/>
        <v>0.38390302665261261</v>
      </c>
      <c r="R27" s="46">
        <f t="shared" si="1"/>
        <v>0</v>
      </c>
    </row>
    <row r="28" spans="1:29" x14ac:dyDescent="0.2">
      <c r="A28" s="36" t="s">
        <v>211</v>
      </c>
      <c r="B28" s="36" t="s">
        <v>212</v>
      </c>
      <c r="C28" s="36" t="s">
        <v>213</v>
      </c>
      <c r="D28" s="40">
        <v>45665</v>
      </c>
      <c r="E28" s="36" t="s">
        <v>214</v>
      </c>
      <c r="F28" s="36" t="s">
        <v>25</v>
      </c>
      <c r="G28" s="36" t="s">
        <v>131</v>
      </c>
      <c r="H28" s="36" t="s">
        <v>34</v>
      </c>
      <c r="I28" s="36" t="s">
        <v>34</v>
      </c>
      <c r="J28" s="36" t="s">
        <v>121</v>
      </c>
      <c r="K28" s="36" t="s">
        <v>102</v>
      </c>
      <c r="L28" s="37">
        <v>396.33</v>
      </c>
      <c r="M28" s="37">
        <v>513.44000000000005</v>
      </c>
      <c r="N28" s="37">
        <v>117.11</v>
      </c>
      <c r="O28" s="36" t="s">
        <v>103</v>
      </c>
      <c r="P28" s="36">
        <v>0</v>
      </c>
      <c r="Q28" s="41">
        <f t="shared" si="0"/>
        <v>1.2954860848282999</v>
      </c>
      <c r="R28" s="38">
        <f t="shared" si="1"/>
        <v>0</v>
      </c>
    </row>
    <row r="29" spans="1:29" x14ac:dyDescent="0.2">
      <c r="A29" s="42" t="s">
        <v>215</v>
      </c>
      <c r="B29" s="42" t="s">
        <v>216</v>
      </c>
      <c r="C29" s="42" t="s">
        <v>217</v>
      </c>
      <c r="D29" s="43">
        <v>45684</v>
      </c>
      <c r="E29" s="42" t="s">
        <v>218</v>
      </c>
      <c r="F29" s="42" t="s">
        <v>25</v>
      </c>
      <c r="G29" s="42" t="s">
        <v>114</v>
      </c>
      <c r="H29" s="42" t="s">
        <v>34</v>
      </c>
      <c r="I29" s="42" t="s">
        <v>34</v>
      </c>
      <c r="J29" s="42" t="s">
        <v>121</v>
      </c>
      <c r="K29" s="42" t="s">
        <v>102</v>
      </c>
      <c r="L29" s="44">
        <v>216.27</v>
      </c>
      <c r="M29" s="44">
        <v>54.07</v>
      </c>
      <c r="N29" s="44">
        <v>-162.19999999999999</v>
      </c>
      <c r="O29" s="42" t="s">
        <v>103</v>
      </c>
      <c r="P29" s="42">
        <v>0</v>
      </c>
      <c r="Q29" s="45">
        <f t="shared" si="0"/>
        <v>0.25001155962454341</v>
      </c>
      <c r="R29" s="46">
        <f t="shared" si="1"/>
        <v>0</v>
      </c>
    </row>
    <row r="30" spans="1:29" x14ac:dyDescent="0.2">
      <c r="A30" s="36" t="s">
        <v>219</v>
      </c>
      <c r="B30" s="36" t="s">
        <v>220</v>
      </c>
      <c r="C30" s="36" t="s">
        <v>221</v>
      </c>
      <c r="D30" s="40">
        <v>46056</v>
      </c>
      <c r="E30" s="36" t="s">
        <v>222</v>
      </c>
      <c r="F30" s="36" t="s">
        <v>33</v>
      </c>
      <c r="G30" s="36" t="s">
        <v>108</v>
      </c>
      <c r="H30" s="36" t="s">
        <v>30</v>
      </c>
      <c r="I30" s="36" t="s">
        <v>30</v>
      </c>
      <c r="J30" s="36" t="s">
        <v>143</v>
      </c>
      <c r="K30" s="36" t="s">
        <v>102</v>
      </c>
      <c r="L30" s="37">
        <v>300.89999999999998</v>
      </c>
      <c r="M30" s="37">
        <v>299.22000000000003</v>
      </c>
      <c r="N30" s="37">
        <v>-1.68</v>
      </c>
      <c r="O30" s="36" t="s">
        <v>103</v>
      </c>
      <c r="P30" s="36">
        <v>0</v>
      </c>
      <c r="Q30" s="41">
        <f t="shared" si="0"/>
        <v>0.9944167497507479</v>
      </c>
      <c r="R30" s="38">
        <f t="shared" si="1"/>
        <v>0</v>
      </c>
    </row>
    <row r="31" spans="1:29" x14ac:dyDescent="0.2">
      <c r="A31" s="42" t="s">
        <v>223</v>
      </c>
      <c r="B31" s="42" t="s">
        <v>224</v>
      </c>
      <c r="C31" s="42" t="s">
        <v>225</v>
      </c>
      <c r="D31" s="43">
        <v>46030</v>
      </c>
      <c r="E31" s="42" t="s">
        <v>226</v>
      </c>
      <c r="F31" s="42" t="s">
        <v>25</v>
      </c>
      <c r="G31" s="42" t="s">
        <v>100</v>
      </c>
      <c r="H31" s="42" t="s">
        <v>34</v>
      </c>
      <c r="I31" s="42" t="s">
        <v>34</v>
      </c>
      <c r="J31" s="42" t="s">
        <v>121</v>
      </c>
      <c r="K31" s="42" t="s">
        <v>102</v>
      </c>
      <c r="L31" s="44">
        <v>157.80000000000001</v>
      </c>
      <c r="M31" s="44">
        <v>223.34</v>
      </c>
      <c r="N31" s="44">
        <v>65.540000000000006</v>
      </c>
      <c r="O31" s="42" t="s">
        <v>103</v>
      </c>
      <c r="P31" s="42">
        <v>1</v>
      </c>
      <c r="Q31" s="45">
        <f t="shared" si="0"/>
        <v>1.4153358681875792</v>
      </c>
      <c r="R31" s="46">
        <f t="shared" si="1"/>
        <v>0</v>
      </c>
    </row>
    <row r="32" spans="1:29" x14ac:dyDescent="0.2">
      <c r="A32" s="36" t="s">
        <v>227</v>
      </c>
      <c r="B32" s="36" t="s">
        <v>228</v>
      </c>
      <c r="C32" s="36" t="s">
        <v>229</v>
      </c>
      <c r="D32" s="40">
        <v>45863</v>
      </c>
      <c r="E32" s="36" t="s">
        <v>230</v>
      </c>
      <c r="F32" s="36" t="s">
        <v>29</v>
      </c>
      <c r="G32" s="36" t="s">
        <v>100</v>
      </c>
      <c r="H32" s="36" t="s">
        <v>34</v>
      </c>
      <c r="I32" s="36" t="s">
        <v>34</v>
      </c>
      <c r="J32" s="36" t="s">
        <v>121</v>
      </c>
      <c r="K32" s="36" t="s">
        <v>103</v>
      </c>
      <c r="L32" s="37">
        <v>62.9</v>
      </c>
      <c r="M32" s="37">
        <v>98.58</v>
      </c>
      <c r="N32" s="37">
        <v>35.68</v>
      </c>
      <c r="O32" s="36" t="s">
        <v>103</v>
      </c>
      <c r="P32" s="36">
        <v>0</v>
      </c>
      <c r="Q32" s="41">
        <f t="shared" si="0"/>
        <v>1.5672496025437201</v>
      </c>
      <c r="R32" s="38">
        <f t="shared" si="1"/>
        <v>20</v>
      </c>
    </row>
    <row r="33" spans="1:18" x14ac:dyDescent="0.2">
      <c r="A33" s="42" t="s">
        <v>231</v>
      </c>
      <c r="B33" s="42" t="s">
        <v>232</v>
      </c>
      <c r="C33" s="42" t="s">
        <v>233</v>
      </c>
      <c r="D33" s="43">
        <v>45822</v>
      </c>
      <c r="E33" s="42" t="s">
        <v>234</v>
      </c>
      <c r="F33" s="42" t="s">
        <v>27</v>
      </c>
      <c r="G33" s="42" t="s">
        <v>108</v>
      </c>
      <c r="H33" s="42" t="s">
        <v>34</v>
      </c>
      <c r="I33" s="42" t="s">
        <v>34</v>
      </c>
      <c r="J33" s="42" t="s">
        <v>115</v>
      </c>
      <c r="K33" s="42" t="s">
        <v>103</v>
      </c>
      <c r="L33" s="44">
        <v>42.18</v>
      </c>
      <c r="M33" s="44">
        <v>25.52</v>
      </c>
      <c r="N33" s="44">
        <v>-16.66</v>
      </c>
      <c r="O33" s="42" t="s">
        <v>103</v>
      </c>
      <c r="P33" s="42">
        <v>0</v>
      </c>
      <c r="Q33" s="45">
        <f t="shared" si="0"/>
        <v>0.60502607871028924</v>
      </c>
      <c r="R33" s="46">
        <f t="shared" si="1"/>
        <v>20</v>
      </c>
    </row>
    <row r="34" spans="1:18" x14ac:dyDescent="0.2">
      <c r="A34" s="36" t="s">
        <v>235</v>
      </c>
      <c r="B34" s="36" t="s">
        <v>236</v>
      </c>
      <c r="C34" s="36" t="s">
        <v>237</v>
      </c>
      <c r="D34" s="40">
        <v>46022</v>
      </c>
      <c r="E34" s="36" t="s">
        <v>238</v>
      </c>
      <c r="F34" s="36" t="s">
        <v>29</v>
      </c>
      <c r="G34" s="36" t="s">
        <v>108</v>
      </c>
      <c r="H34" s="36" t="s">
        <v>34</v>
      </c>
      <c r="I34" s="36" t="s">
        <v>34</v>
      </c>
      <c r="J34" s="36" t="s">
        <v>188</v>
      </c>
      <c r="K34" s="36" t="s">
        <v>102</v>
      </c>
      <c r="L34" s="37">
        <v>497.37</v>
      </c>
      <c r="M34" s="37">
        <v>580.54</v>
      </c>
      <c r="N34" s="37">
        <v>83.17</v>
      </c>
      <c r="O34" s="36" t="s">
        <v>103</v>
      </c>
      <c r="P34" s="36">
        <v>1</v>
      </c>
      <c r="Q34" s="41">
        <f t="shared" si="0"/>
        <v>1.1672195749643122</v>
      </c>
      <c r="R34" s="38">
        <f t="shared" si="1"/>
        <v>0</v>
      </c>
    </row>
    <row r="35" spans="1:18" x14ac:dyDescent="0.2">
      <c r="A35" s="42" t="s">
        <v>239</v>
      </c>
      <c r="B35" s="42" t="s">
        <v>240</v>
      </c>
      <c r="C35" s="42" t="s">
        <v>241</v>
      </c>
      <c r="D35" s="43">
        <v>45878</v>
      </c>
      <c r="E35" s="42" t="s">
        <v>242</v>
      </c>
      <c r="F35" s="42" t="s">
        <v>27</v>
      </c>
      <c r="G35" s="42" t="s">
        <v>108</v>
      </c>
      <c r="H35" s="42" t="s">
        <v>28</v>
      </c>
      <c r="I35" s="42" t="s">
        <v>28</v>
      </c>
      <c r="J35" s="42" t="s">
        <v>109</v>
      </c>
      <c r="K35" s="42" t="s">
        <v>102</v>
      </c>
      <c r="L35" s="44">
        <v>353.87</v>
      </c>
      <c r="M35" s="44">
        <v>663.91</v>
      </c>
      <c r="N35" s="44">
        <v>310.04000000000002</v>
      </c>
      <c r="O35" s="42" t="s">
        <v>103</v>
      </c>
      <c r="P35" s="42">
        <v>0</v>
      </c>
      <c r="Q35" s="45">
        <f t="shared" si="0"/>
        <v>1.8761409557182014</v>
      </c>
      <c r="R35" s="46">
        <f t="shared" si="1"/>
        <v>0</v>
      </c>
    </row>
    <row r="36" spans="1:18" x14ac:dyDescent="0.2">
      <c r="A36" s="36" t="s">
        <v>243</v>
      </c>
      <c r="B36" s="36" t="s">
        <v>244</v>
      </c>
      <c r="C36" s="36" t="s">
        <v>245</v>
      </c>
      <c r="D36" s="40">
        <v>45768</v>
      </c>
      <c r="E36" s="36" t="s">
        <v>246</v>
      </c>
      <c r="F36" s="36" t="s">
        <v>22</v>
      </c>
      <c r="G36" s="36" t="s">
        <v>114</v>
      </c>
      <c r="H36" s="36" t="s">
        <v>34</v>
      </c>
      <c r="I36" s="36" t="s">
        <v>34</v>
      </c>
      <c r="J36" s="36" t="s">
        <v>115</v>
      </c>
      <c r="K36" s="36" t="s">
        <v>103</v>
      </c>
      <c r="L36" s="37">
        <v>445.16</v>
      </c>
      <c r="M36" s="37">
        <v>405.27</v>
      </c>
      <c r="N36" s="37">
        <v>-39.89</v>
      </c>
      <c r="O36" s="36" t="s">
        <v>103</v>
      </c>
      <c r="P36" s="36">
        <v>0</v>
      </c>
      <c r="Q36" s="41">
        <f t="shared" si="0"/>
        <v>0.910391769251505</v>
      </c>
      <c r="R36" s="38">
        <f t="shared" si="1"/>
        <v>20</v>
      </c>
    </row>
    <row r="37" spans="1:18" x14ac:dyDescent="0.2">
      <c r="A37" s="42" t="s">
        <v>247</v>
      </c>
      <c r="B37" s="42" t="s">
        <v>248</v>
      </c>
      <c r="C37" s="42" t="s">
        <v>249</v>
      </c>
      <c r="D37" s="43">
        <v>45870</v>
      </c>
      <c r="E37" s="42" t="s">
        <v>250</v>
      </c>
      <c r="F37" s="42" t="s">
        <v>19</v>
      </c>
      <c r="G37" s="42" t="s">
        <v>120</v>
      </c>
      <c r="H37" s="42" t="s">
        <v>34</v>
      </c>
      <c r="I37" s="42" t="s">
        <v>34</v>
      </c>
      <c r="J37" s="42" t="s">
        <v>188</v>
      </c>
      <c r="K37" s="42" t="s">
        <v>102</v>
      </c>
      <c r="L37" s="44">
        <v>163.15</v>
      </c>
      <c r="M37" s="44">
        <v>112.17</v>
      </c>
      <c r="N37" s="44">
        <v>-50.98</v>
      </c>
      <c r="O37" s="42" t="s">
        <v>103</v>
      </c>
      <c r="P37" s="42">
        <v>1</v>
      </c>
      <c r="Q37" s="45">
        <f t="shared" si="0"/>
        <v>0.68752681581366837</v>
      </c>
      <c r="R37" s="46">
        <f t="shared" si="1"/>
        <v>0</v>
      </c>
    </row>
    <row r="38" spans="1:18" x14ac:dyDescent="0.2">
      <c r="A38" s="36" t="s">
        <v>251</v>
      </c>
      <c r="B38" s="36" t="s">
        <v>252</v>
      </c>
      <c r="C38" s="36" t="s">
        <v>253</v>
      </c>
      <c r="D38" s="40">
        <v>46009</v>
      </c>
      <c r="E38" s="36" t="s">
        <v>254</v>
      </c>
      <c r="F38" s="36" t="s">
        <v>29</v>
      </c>
      <c r="G38" s="36" t="s">
        <v>100</v>
      </c>
      <c r="H38" s="36" t="s">
        <v>34</v>
      </c>
      <c r="I38" s="36" t="s">
        <v>34</v>
      </c>
      <c r="J38" s="36" t="s">
        <v>152</v>
      </c>
      <c r="K38" s="36" t="s">
        <v>103</v>
      </c>
      <c r="L38" s="37">
        <v>54.7</v>
      </c>
      <c r="M38" s="37">
        <v>10.27</v>
      </c>
      <c r="N38" s="37">
        <v>-44.43</v>
      </c>
      <c r="O38" s="36" t="s">
        <v>103</v>
      </c>
      <c r="P38" s="36">
        <v>2</v>
      </c>
      <c r="Q38" s="41">
        <f t="shared" si="0"/>
        <v>0.18775137111517365</v>
      </c>
      <c r="R38" s="38">
        <f t="shared" si="1"/>
        <v>20</v>
      </c>
    </row>
    <row r="39" spans="1:18" x14ac:dyDescent="0.2">
      <c r="A39" s="42" t="s">
        <v>255</v>
      </c>
      <c r="B39" s="42" t="s">
        <v>180</v>
      </c>
      <c r="C39" s="42" t="s">
        <v>181</v>
      </c>
      <c r="D39" s="43">
        <v>46036</v>
      </c>
      <c r="E39" s="42" t="s">
        <v>256</v>
      </c>
      <c r="F39" s="42" t="s">
        <v>31</v>
      </c>
      <c r="G39" s="42" t="s">
        <v>108</v>
      </c>
      <c r="H39" s="42" t="s">
        <v>20</v>
      </c>
      <c r="I39" s="42" t="s">
        <v>20</v>
      </c>
      <c r="J39" s="42" t="s">
        <v>183</v>
      </c>
      <c r="K39" s="42" t="s">
        <v>103</v>
      </c>
      <c r="L39" s="44">
        <v>73.760000000000005</v>
      </c>
      <c r="M39" s="44">
        <v>9.73</v>
      </c>
      <c r="N39" s="44">
        <v>-64.03</v>
      </c>
      <c r="O39" s="42" t="s">
        <v>103</v>
      </c>
      <c r="P39" s="42">
        <v>0</v>
      </c>
      <c r="Q39" s="45">
        <f t="shared" si="0"/>
        <v>0.13191431670281994</v>
      </c>
      <c r="R39" s="46">
        <f t="shared" si="1"/>
        <v>20</v>
      </c>
    </row>
    <row r="40" spans="1:18" x14ac:dyDescent="0.2">
      <c r="A40" s="36" t="s">
        <v>257</v>
      </c>
      <c r="B40" s="36" t="s">
        <v>258</v>
      </c>
      <c r="C40" s="36" t="s">
        <v>259</v>
      </c>
      <c r="D40" s="40">
        <v>46001</v>
      </c>
      <c r="E40" s="36" t="s">
        <v>260</v>
      </c>
      <c r="F40" s="36" t="s">
        <v>22</v>
      </c>
      <c r="G40" s="36" t="s">
        <v>114</v>
      </c>
      <c r="H40" s="36" t="s">
        <v>34</v>
      </c>
      <c r="I40" s="36" t="s">
        <v>34</v>
      </c>
      <c r="J40" s="36" t="s">
        <v>115</v>
      </c>
      <c r="K40" s="36" t="s">
        <v>102</v>
      </c>
      <c r="L40" s="37">
        <v>183.26</v>
      </c>
      <c r="M40" s="37">
        <v>268.25</v>
      </c>
      <c r="N40" s="37">
        <v>84.99</v>
      </c>
      <c r="O40" s="36" t="s">
        <v>103</v>
      </c>
      <c r="P40" s="36">
        <v>0</v>
      </c>
      <c r="Q40" s="41">
        <f t="shared" si="0"/>
        <v>1.463767325111863</v>
      </c>
      <c r="R40" s="38">
        <f t="shared" si="1"/>
        <v>0</v>
      </c>
    </row>
    <row r="41" spans="1:18" x14ac:dyDescent="0.2">
      <c r="A41" s="42" t="s">
        <v>261</v>
      </c>
      <c r="B41" s="42" t="s">
        <v>244</v>
      </c>
      <c r="C41" s="42" t="s">
        <v>245</v>
      </c>
      <c r="D41" s="43">
        <v>45684</v>
      </c>
      <c r="E41" s="42" t="s">
        <v>262</v>
      </c>
      <c r="F41" s="42" t="s">
        <v>31</v>
      </c>
      <c r="G41" s="42" t="s">
        <v>131</v>
      </c>
      <c r="H41" s="42" t="s">
        <v>34</v>
      </c>
      <c r="I41" s="42" t="s">
        <v>34</v>
      </c>
      <c r="J41" s="42" t="s">
        <v>115</v>
      </c>
      <c r="K41" s="42" t="s">
        <v>103</v>
      </c>
      <c r="L41" s="44">
        <v>163.1</v>
      </c>
      <c r="M41" s="44">
        <v>37.17</v>
      </c>
      <c r="N41" s="44">
        <v>-125.93</v>
      </c>
      <c r="O41" s="42" t="s">
        <v>103</v>
      </c>
      <c r="P41" s="42">
        <v>0</v>
      </c>
      <c r="Q41" s="45">
        <f t="shared" si="0"/>
        <v>0.22789699570815453</v>
      </c>
      <c r="R41" s="46">
        <f t="shared" si="1"/>
        <v>20</v>
      </c>
    </row>
    <row r="42" spans="1:18" x14ac:dyDescent="0.2">
      <c r="A42" s="36" t="s">
        <v>263</v>
      </c>
      <c r="B42" s="36" t="s">
        <v>252</v>
      </c>
      <c r="C42" s="36" t="s">
        <v>253</v>
      </c>
      <c r="D42" s="40">
        <v>45994</v>
      </c>
      <c r="E42" s="36" t="s">
        <v>264</v>
      </c>
      <c r="F42" s="36" t="s">
        <v>31</v>
      </c>
      <c r="G42" s="36" t="s">
        <v>120</v>
      </c>
      <c r="H42" s="36" t="s">
        <v>34</v>
      </c>
      <c r="I42" s="36" t="s">
        <v>34</v>
      </c>
      <c r="J42" s="36" t="s">
        <v>152</v>
      </c>
      <c r="K42" s="36" t="s">
        <v>103</v>
      </c>
      <c r="L42" s="37">
        <v>425.16</v>
      </c>
      <c r="M42" s="37">
        <v>327.48</v>
      </c>
      <c r="N42" s="37">
        <v>-97.68</v>
      </c>
      <c r="O42" s="36" t="s">
        <v>103</v>
      </c>
      <c r="P42" s="36">
        <v>2</v>
      </c>
      <c r="Q42" s="41">
        <f t="shared" si="0"/>
        <v>0.77025119954840526</v>
      </c>
      <c r="R42" s="38">
        <f t="shared" si="1"/>
        <v>20</v>
      </c>
    </row>
    <row r="43" spans="1:18" x14ac:dyDescent="0.2">
      <c r="A43" s="42" t="s">
        <v>265</v>
      </c>
      <c r="B43" s="42" t="s">
        <v>176</v>
      </c>
      <c r="C43" s="42" t="s">
        <v>177</v>
      </c>
      <c r="D43" s="43">
        <v>46048</v>
      </c>
      <c r="E43" s="42" t="s">
        <v>266</v>
      </c>
      <c r="F43" s="42" t="s">
        <v>31</v>
      </c>
      <c r="G43" s="42" t="s">
        <v>108</v>
      </c>
      <c r="H43" s="42" t="s">
        <v>34</v>
      </c>
      <c r="I43" s="42" t="s">
        <v>34</v>
      </c>
      <c r="J43" s="42" t="s">
        <v>121</v>
      </c>
      <c r="K43" s="42" t="s">
        <v>102</v>
      </c>
      <c r="L43" s="44">
        <v>120.82</v>
      </c>
      <c r="M43" s="44">
        <v>114.06</v>
      </c>
      <c r="N43" s="44">
        <v>-6.76</v>
      </c>
      <c r="O43" s="42" t="s">
        <v>103</v>
      </c>
      <c r="P43" s="42">
        <v>0</v>
      </c>
      <c r="Q43" s="45">
        <f t="shared" si="0"/>
        <v>0.94404899851018054</v>
      </c>
      <c r="R43" s="46">
        <f t="shared" si="1"/>
        <v>0</v>
      </c>
    </row>
    <row r="44" spans="1:18" x14ac:dyDescent="0.2">
      <c r="A44" s="36" t="s">
        <v>267</v>
      </c>
      <c r="B44" s="36" t="s">
        <v>268</v>
      </c>
      <c r="C44" s="36" t="s">
        <v>269</v>
      </c>
      <c r="D44" s="40">
        <v>46003</v>
      </c>
      <c r="E44" s="36" t="s">
        <v>270</v>
      </c>
      <c r="F44" s="36" t="s">
        <v>22</v>
      </c>
      <c r="G44" s="36" t="s">
        <v>126</v>
      </c>
      <c r="H44" s="36" t="s">
        <v>34</v>
      </c>
      <c r="I44" s="36" t="s">
        <v>34</v>
      </c>
      <c r="J44" s="36" t="s">
        <v>121</v>
      </c>
      <c r="K44" s="36" t="s">
        <v>102</v>
      </c>
      <c r="L44" s="37">
        <v>22.86</v>
      </c>
      <c r="M44" s="37">
        <v>46.73</v>
      </c>
      <c r="N44" s="37">
        <v>23.87</v>
      </c>
      <c r="O44" s="36" t="s">
        <v>103</v>
      </c>
      <c r="P44" s="36">
        <v>0</v>
      </c>
      <c r="Q44" s="41">
        <f t="shared" si="0"/>
        <v>2.0441819772528431</v>
      </c>
      <c r="R44" s="38">
        <f t="shared" si="1"/>
        <v>20</v>
      </c>
    </row>
    <row r="45" spans="1:18" x14ac:dyDescent="0.2">
      <c r="A45" s="42" t="s">
        <v>271</v>
      </c>
      <c r="B45" s="42" t="s">
        <v>272</v>
      </c>
      <c r="C45" s="42" t="s">
        <v>273</v>
      </c>
      <c r="D45" s="43">
        <v>45672</v>
      </c>
      <c r="E45" s="42" t="s">
        <v>274</v>
      </c>
      <c r="F45" s="42" t="s">
        <v>19</v>
      </c>
      <c r="G45" s="42" t="s">
        <v>120</v>
      </c>
      <c r="H45" s="42" t="s">
        <v>34</v>
      </c>
      <c r="I45" s="42" t="s">
        <v>34</v>
      </c>
      <c r="J45" s="42" t="s">
        <v>121</v>
      </c>
      <c r="K45" s="42" t="s">
        <v>102</v>
      </c>
      <c r="L45" s="44">
        <v>354.32</v>
      </c>
      <c r="M45" s="44">
        <v>240.85</v>
      </c>
      <c r="N45" s="44">
        <v>-113.47</v>
      </c>
      <c r="O45" s="42" t="s">
        <v>103</v>
      </c>
      <c r="P45" s="42">
        <v>2</v>
      </c>
      <c r="Q45" s="45">
        <f t="shared" si="0"/>
        <v>0.67975276586136824</v>
      </c>
      <c r="R45" s="46">
        <f t="shared" si="1"/>
        <v>0</v>
      </c>
    </row>
    <row r="46" spans="1:18" x14ac:dyDescent="0.2">
      <c r="A46" s="36" t="s">
        <v>275</v>
      </c>
      <c r="B46" s="36" t="s">
        <v>276</v>
      </c>
      <c r="C46" s="36" t="s">
        <v>277</v>
      </c>
      <c r="D46" s="40">
        <v>45750</v>
      </c>
      <c r="E46" s="36" t="s">
        <v>278</v>
      </c>
      <c r="F46" s="36" t="s">
        <v>27</v>
      </c>
      <c r="G46" s="36" t="s">
        <v>126</v>
      </c>
      <c r="H46" s="36" t="s">
        <v>34</v>
      </c>
      <c r="I46" s="36" t="s">
        <v>34</v>
      </c>
      <c r="J46" s="36" t="s">
        <v>121</v>
      </c>
      <c r="K46" s="36" t="s">
        <v>102</v>
      </c>
      <c r="L46" s="37">
        <v>332.1</v>
      </c>
      <c r="M46" s="37">
        <v>50.84</v>
      </c>
      <c r="N46" s="37">
        <v>-281.26</v>
      </c>
      <c r="O46" s="36" t="s">
        <v>103</v>
      </c>
      <c r="P46" s="36">
        <v>0</v>
      </c>
      <c r="Q46" s="41">
        <f t="shared" si="0"/>
        <v>0.15308641975308643</v>
      </c>
      <c r="R46" s="38">
        <f t="shared" si="1"/>
        <v>10</v>
      </c>
    </row>
    <row r="47" spans="1:18" x14ac:dyDescent="0.2">
      <c r="A47" s="42" t="s">
        <v>279</v>
      </c>
      <c r="B47" s="42" t="s">
        <v>280</v>
      </c>
      <c r="C47" s="42" t="s">
        <v>281</v>
      </c>
      <c r="D47" s="43">
        <v>45704</v>
      </c>
      <c r="E47" s="42" t="s">
        <v>282</v>
      </c>
      <c r="F47" s="42" t="s">
        <v>19</v>
      </c>
      <c r="G47" s="42" t="s">
        <v>131</v>
      </c>
      <c r="H47" s="42" t="s">
        <v>34</v>
      </c>
      <c r="I47" s="42" t="s">
        <v>34</v>
      </c>
      <c r="J47" s="42" t="s">
        <v>188</v>
      </c>
      <c r="K47" s="42" t="s">
        <v>102</v>
      </c>
      <c r="L47" s="44">
        <v>115.42</v>
      </c>
      <c r="M47" s="44">
        <v>106.61</v>
      </c>
      <c r="N47" s="44">
        <v>-8.81</v>
      </c>
      <c r="O47" s="42" t="s">
        <v>103</v>
      </c>
      <c r="P47" s="42">
        <v>0</v>
      </c>
      <c r="Q47" s="45">
        <f t="shared" si="0"/>
        <v>0.92367007451048344</v>
      </c>
      <c r="R47" s="46">
        <f t="shared" si="1"/>
        <v>0</v>
      </c>
    </row>
    <row r="48" spans="1:18" x14ac:dyDescent="0.2">
      <c r="A48" s="36" t="s">
        <v>283</v>
      </c>
      <c r="B48" s="36" t="s">
        <v>284</v>
      </c>
      <c r="C48" s="36" t="s">
        <v>285</v>
      </c>
      <c r="D48" s="40">
        <v>45817</v>
      </c>
      <c r="E48" s="36" t="s">
        <v>286</v>
      </c>
      <c r="F48" s="36" t="s">
        <v>25</v>
      </c>
      <c r="G48" s="36" t="s">
        <v>100</v>
      </c>
      <c r="H48" s="36" t="s">
        <v>34</v>
      </c>
      <c r="I48" s="36" t="s">
        <v>34</v>
      </c>
      <c r="J48" s="36" t="s">
        <v>121</v>
      </c>
      <c r="K48" s="36" t="s">
        <v>103</v>
      </c>
      <c r="L48" s="37">
        <v>390.65</v>
      </c>
      <c r="M48" s="37">
        <v>487.81</v>
      </c>
      <c r="N48" s="37">
        <v>97.16</v>
      </c>
      <c r="O48" s="36" t="s">
        <v>103</v>
      </c>
      <c r="P48" s="36">
        <v>0</v>
      </c>
      <c r="Q48" s="41">
        <f t="shared" si="0"/>
        <v>1.2487136823243312</v>
      </c>
      <c r="R48" s="38">
        <f t="shared" si="1"/>
        <v>20</v>
      </c>
    </row>
    <row r="49" spans="1:18" x14ac:dyDescent="0.2">
      <c r="A49" s="42" t="s">
        <v>287</v>
      </c>
      <c r="B49" s="42" t="s">
        <v>252</v>
      </c>
      <c r="C49" s="42" t="s">
        <v>253</v>
      </c>
      <c r="D49" s="43">
        <v>45738</v>
      </c>
      <c r="E49" s="42" t="s">
        <v>288</v>
      </c>
      <c r="F49" s="42" t="s">
        <v>27</v>
      </c>
      <c r="G49" s="42" t="s">
        <v>114</v>
      </c>
      <c r="H49" s="42" t="s">
        <v>34</v>
      </c>
      <c r="I49" s="42" t="s">
        <v>34</v>
      </c>
      <c r="J49" s="42" t="s">
        <v>152</v>
      </c>
      <c r="K49" s="42" t="s">
        <v>103</v>
      </c>
      <c r="L49" s="44">
        <v>340.24</v>
      </c>
      <c r="M49" s="44">
        <v>203.68</v>
      </c>
      <c r="N49" s="44">
        <v>-136.56</v>
      </c>
      <c r="O49" s="42" t="s">
        <v>103</v>
      </c>
      <c r="P49" s="42">
        <v>2</v>
      </c>
      <c r="Q49" s="45">
        <f t="shared" si="0"/>
        <v>0.59863625675993415</v>
      </c>
      <c r="R49" s="46">
        <f t="shared" si="1"/>
        <v>20</v>
      </c>
    </row>
    <row r="50" spans="1:18" x14ac:dyDescent="0.2">
      <c r="A50" s="36" t="s">
        <v>289</v>
      </c>
      <c r="B50" s="36" t="s">
        <v>290</v>
      </c>
      <c r="C50" s="36" t="s">
        <v>291</v>
      </c>
      <c r="D50" s="40">
        <v>45968</v>
      </c>
      <c r="E50" s="36" t="s">
        <v>292</v>
      </c>
      <c r="F50" s="36" t="s">
        <v>25</v>
      </c>
      <c r="G50" s="36" t="s">
        <v>120</v>
      </c>
      <c r="H50" s="36" t="s">
        <v>30</v>
      </c>
      <c r="I50" s="36" t="s">
        <v>30</v>
      </c>
      <c r="J50" s="36" t="s">
        <v>143</v>
      </c>
      <c r="K50" s="36" t="s">
        <v>103</v>
      </c>
      <c r="L50" s="37">
        <v>143.85</v>
      </c>
      <c r="M50" s="37">
        <v>238.92</v>
      </c>
      <c r="N50" s="37">
        <v>95.07</v>
      </c>
      <c r="O50" s="36" t="s">
        <v>103</v>
      </c>
      <c r="P50" s="36">
        <v>0</v>
      </c>
      <c r="Q50" s="41">
        <f t="shared" si="0"/>
        <v>1.6608967674661106</v>
      </c>
      <c r="R50" s="38">
        <f t="shared" si="1"/>
        <v>20</v>
      </c>
    </row>
    <row r="51" spans="1:18" x14ac:dyDescent="0.2">
      <c r="A51" s="42" t="s">
        <v>293</v>
      </c>
      <c r="B51" s="42" t="s">
        <v>294</v>
      </c>
      <c r="C51" s="42" t="s">
        <v>295</v>
      </c>
      <c r="D51" s="43">
        <v>45714</v>
      </c>
      <c r="E51" s="42" t="s">
        <v>296</v>
      </c>
      <c r="F51" s="42" t="s">
        <v>27</v>
      </c>
      <c r="G51" s="42" t="s">
        <v>120</v>
      </c>
      <c r="H51" s="42" t="s">
        <v>30</v>
      </c>
      <c r="I51" s="42" t="s">
        <v>30</v>
      </c>
      <c r="J51" s="42" t="s">
        <v>143</v>
      </c>
      <c r="K51" s="42" t="s">
        <v>102</v>
      </c>
      <c r="L51" s="44">
        <v>342.46</v>
      </c>
      <c r="M51" s="44">
        <v>366.63</v>
      </c>
      <c r="N51" s="44">
        <v>24.17</v>
      </c>
      <c r="O51" s="42" t="s">
        <v>103</v>
      </c>
      <c r="P51" s="42">
        <v>0</v>
      </c>
      <c r="Q51" s="45">
        <f t="shared" si="0"/>
        <v>1.0705775857034399</v>
      </c>
      <c r="R51" s="46">
        <f t="shared" si="1"/>
        <v>0</v>
      </c>
    </row>
    <row r="52" spans="1:18" x14ac:dyDescent="0.2">
      <c r="A52" s="36" t="s">
        <v>297</v>
      </c>
      <c r="B52" s="36" t="s">
        <v>224</v>
      </c>
      <c r="C52" s="36" t="s">
        <v>225</v>
      </c>
      <c r="D52" s="40">
        <v>45770</v>
      </c>
      <c r="E52" s="36" t="s">
        <v>298</v>
      </c>
      <c r="F52" s="36" t="s">
        <v>33</v>
      </c>
      <c r="G52" s="36" t="s">
        <v>131</v>
      </c>
      <c r="H52" s="36" t="s">
        <v>34</v>
      </c>
      <c r="I52" s="36" t="s">
        <v>34</v>
      </c>
      <c r="J52" s="36" t="s">
        <v>121</v>
      </c>
      <c r="K52" s="36" t="s">
        <v>102</v>
      </c>
      <c r="L52" s="37">
        <v>36.840000000000003</v>
      </c>
      <c r="M52" s="37">
        <v>16.57</v>
      </c>
      <c r="N52" s="37">
        <v>-20.27</v>
      </c>
      <c r="O52" s="36" t="s">
        <v>103</v>
      </c>
      <c r="P52" s="36">
        <v>1</v>
      </c>
      <c r="Q52" s="41">
        <f t="shared" si="0"/>
        <v>0.44978284473398478</v>
      </c>
      <c r="R52" s="38">
        <f t="shared" si="1"/>
        <v>0</v>
      </c>
    </row>
    <row r="53" spans="1:18" x14ac:dyDescent="0.2">
      <c r="A53" s="42" t="s">
        <v>299</v>
      </c>
      <c r="B53" s="42" t="s">
        <v>300</v>
      </c>
      <c r="C53" s="42" t="s">
        <v>301</v>
      </c>
      <c r="D53" s="43">
        <v>45788</v>
      </c>
      <c r="E53" s="42" t="s">
        <v>302</v>
      </c>
      <c r="F53" s="42" t="s">
        <v>29</v>
      </c>
      <c r="G53" s="42" t="s">
        <v>131</v>
      </c>
      <c r="H53" s="42" t="s">
        <v>26</v>
      </c>
      <c r="I53" s="42" t="s">
        <v>26</v>
      </c>
      <c r="J53" s="42" t="s">
        <v>303</v>
      </c>
      <c r="K53" s="42" t="s">
        <v>103</v>
      </c>
      <c r="L53" s="44">
        <v>68.790000000000006</v>
      </c>
      <c r="M53" s="44">
        <v>75.27</v>
      </c>
      <c r="N53" s="44">
        <v>6.48</v>
      </c>
      <c r="O53" s="42" t="s">
        <v>103</v>
      </c>
      <c r="P53" s="42">
        <v>1</v>
      </c>
      <c r="Q53" s="45">
        <f t="shared" si="0"/>
        <v>1.09419973833406</v>
      </c>
      <c r="R53" s="46">
        <f t="shared" si="1"/>
        <v>20</v>
      </c>
    </row>
    <row r="54" spans="1:18" x14ac:dyDescent="0.2">
      <c r="A54" s="36" t="s">
        <v>304</v>
      </c>
      <c r="B54" s="36" t="s">
        <v>212</v>
      </c>
      <c r="C54" s="36" t="s">
        <v>213</v>
      </c>
      <c r="D54" s="40">
        <v>45852</v>
      </c>
      <c r="E54" s="36" t="s">
        <v>305</v>
      </c>
      <c r="F54" s="36" t="s">
        <v>27</v>
      </c>
      <c r="G54" s="36" t="s">
        <v>120</v>
      </c>
      <c r="H54" s="36" t="s">
        <v>34</v>
      </c>
      <c r="I54" s="36" t="s">
        <v>34</v>
      </c>
      <c r="J54" s="36" t="s">
        <v>121</v>
      </c>
      <c r="K54" s="36" t="s">
        <v>102</v>
      </c>
      <c r="L54" s="37">
        <v>122.75</v>
      </c>
      <c r="M54" s="37">
        <v>150.88</v>
      </c>
      <c r="N54" s="37">
        <v>28.13</v>
      </c>
      <c r="O54" s="36" t="s">
        <v>103</v>
      </c>
      <c r="P54" s="36">
        <v>0</v>
      </c>
      <c r="Q54" s="41">
        <f t="shared" si="0"/>
        <v>1.2291649694501019</v>
      </c>
      <c r="R54" s="38">
        <f t="shared" si="1"/>
        <v>0</v>
      </c>
    </row>
    <row r="55" spans="1:18" x14ac:dyDescent="0.2">
      <c r="A55" s="42" t="s">
        <v>306</v>
      </c>
      <c r="B55" s="42" t="s">
        <v>307</v>
      </c>
      <c r="C55" s="42" t="s">
        <v>308</v>
      </c>
      <c r="D55" s="43">
        <v>45861</v>
      </c>
      <c r="E55" s="42" t="s">
        <v>309</v>
      </c>
      <c r="F55" s="42" t="s">
        <v>25</v>
      </c>
      <c r="G55" s="42" t="s">
        <v>120</v>
      </c>
      <c r="H55" s="42" t="s">
        <v>26</v>
      </c>
      <c r="I55" s="42" t="s">
        <v>26</v>
      </c>
      <c r="J55" s="42" t="s">
        <v>303</v>
      </c>
      <c r="K55" s="42" t="s">
        <v>102</v>
      </c>
      <c r="L55" s="44">
        <v>223.75</v>
      </c>
      <c r="M55" s="44">
        <v>226.31</v>
      </c>
      <c r="N55" s="44">
        <v>2.56</v>
      </c>
      <c r="O55" s="42" t="s">
        <v>103</v>
      </c>
      <c r="P55" s="42">
        <v>0</v>
      </c>
      <c r="Q55" s="45">
        <f t="shared" si="0"/>
        <v>1.011441340782123</v>
      </c>
      <c r="R55" s="46">
        <f t="shared" si="1"/>
        <v>0</v>
      </c>
    </row>
    <row r="56" spans="1:18" x14ac:dyDescent="0.2">
      <c r="A56" s="36" t="s">
        <v>310</v>
      </c>
      <c r="B56" s="36" t="s">
        <v>311</v>
      </c>
      <c r="C56" s="36" t="s">
        <v>312</v>
      </c>
      <c r="D56" s="40">
        <v>45877</v>
      </c>
      <c r="E56" s="36" t="s">
        <v>313</v>
      </c>
      <c r="F56" s="36" t="s">
        <v>25</v>
      </c>
      <c r="G56" s="36" t="s">
        <v>114</v>
      </c>
      <c r="H56" s="36" t="s">
        <v>30</v>
      </c>
      <c r="I56" s="36" t="s">
        <v>30</v>
      </c>
      <c r="J56" s="36" t="s">
        <v>143</v>
      </c>
      <c r="K56" s="36" t="s">
        <v>102</v>
      </c>
      <c r="L56" s="37">
        <v>357.65</v>
      </c>
      <c r="M56" s="37">
        <v>328.65</v>
      </c>
      <c r="N56" s="37">
        <v>-29</v>
      </c>
      <c r="O56" s="36" t="s">
        <v>103</v>
      </c>
      <c r="P56" s="36">
        <v>0</v>
      </c>
      <c r="Q56" s="41">
        <f t="shared" si="0"/>
        <v>0.91891514050048928</v>
      </c>
      <c r="R56" s="38">
        <f t="shared" si="1"/>
        <v>0</v>
      </c>
    </row>
    <row r="57" spans="1:18" x14ac:dyDescent="0.2">
      <c r="A57" s="42" t="s">
        <v>314</v>
      </c>
      <c r="B57" s="42" t="s">
        <v>123</v>
      </c>
      <c r="C57" s="42" t="s">
        <v>124</v>
      </c>
      <c r="D57" s="43">
        <v>45824</v>
      </c>
      <c r="E57" s="42" t="s">
        <v>315</v>
      </c>
      <c r="F57" s="42" t="s">
        <v>27</v>
      </c>
      <c r="G57" s="42" t="s">
        <v>120</v>
      </c>
      <c r="H57" s="42" t="s">
        <v>34</v>
      </c>
      <c r="I57" s="42" t="s">
        <v>34</v>
      </c>
      <c r="J57" s="42" t="s">
        <v>121</v>
      </c>
      <c r="K57" s="42" t="s">
        <v>102</v>
      </c>
      <c r="L57" s="44">
        <v>474.33</v>
      </c>
      <c r="M57" s="44">
        <v>480.12</v>
      </c>
      <c r="N57" s="44">
        <v>5.79</v>
      </c>
      <c r="O57" s="42" t="s">
        <v>103</v>
      </c>
      <c r="P57" s="42">
        <v>0</v>
      </c>
      <c r="Q57" s="45">
        <f t="shared" si="0"/>
        <v>1.0122066915438619</v>
      </c>
      <c r="R57" s="46">
        <f t="shared" si="1"/>
        <v>0</v>
      </c>
    </row>
    <row r="58" spans="1:18" x14ac:dyDescent="0.2">
      <c r="A58" s="36" t="s">
        <v>316</v>
      </c>
      <c r="B58" s="36" t="s">
        <v>50</v>
      </c>
      <c r="C58" s="36" t="s">
        <v>51</v>
      </c>
      <c r="D58" s="40">
        <v>45881</v>
      </c>
      <c r="E58" s="36" t="s">
        <v>317</v>
      </c>
      <c r="F58" s="36" t="s">
        <v>19</v>
      </c>
      <c r="G58" s="36" t="s">
        <v>126</v>
      </c>
      <c r="H58" s="36" t="s">
        <v>34</v>
      </c>
      <c r="I58" s="36" t="s">
        <v>30</v>
      </c>
      <c r="J58" s="36" t="s">
        <v>109</v>
      </c>
      <c r="K58" s="36" t="s">
        <v>102</v>
      </c>
      <c r="L58" s="37">
        <v>5372.85</v>
      </c>
      <c r="M58" s="37">
        <v>15412.4</v>
      </c>
      <c r="N58" s="37">
        <v>10039.549999999999</v>
      </c>
      <c r="O58" s="36" t="s">
        <v>318</v>
      </c>
      <c r="P58" s="36">
        <v>1</v>
      </c>
      <c r="Q58" s="41">
        <f t="shared" si="0"/>
        <v>2.8685706840875884</v>
      </c>
      <c r="R58" s="38">
        <f t="shared" si="1"/>
        <v>65</v>
      </c>
    </row>
    <row r="59" spans="1:18" x14ac:dyDescent="0.2">
      <c r="A59" s="42" t="s">
        <v>319</v>
      </c>
      <c r="B59" s="42" t="s">
        <v>320</v>
      </c>
      <c r="C59" s="42" t="s">
        <v>321</v>
      </c>
      <c r="D59" s="43">
        <v>45771</v>
      </c>
      <c r="E59" s="42" t="s">
        <v>322</v>
      </c>
      <c r="F59" s="42" t="s">
        <v>25</v>
      </c>
      <c r="G59" s="42" t="s">
        <v>108</v>
      </c>
      <c r="H59" s="42" t="s">
        <v>20</v>
      </c>
      <c r="I59" s="42" t="s">
        <v>20</v>
      </c>
      <c r="J59" s="42" t="s">
        <v>183</v>
      </c>
      <c r="K59" s="42" t="s">
        <v>102</v>
      </c>
      <c r="L59" s="44">
        <v>92.39</v>
      </c>
      <c r="M59" s="44">
        <v>103.76</v>
      </c>
      <c r="N59" s="44">
        <v>11.37</v>
      </c>
      <c r="O59" s="42" t="s">
        <v>103</v>
      </c>
      <c r="P59" s="42">
        <v>0</v>
      </c>
      <c r="Q59" s="45">
        <f t="shared" si="0"/>
        <v>1.1230652668037666</v>
      </c>
      <c r="R59" s="46">
        <f t="shared" si="1"/>
        <v>0</v>
      </c>
    </row>
    <row r="60" spans="1:18" x14ac:dyDescent="0.2">
      <c r="A60" s="36" t="s">
        <v>323</v>
      </c>
      <c r="B60" s="36" t="s">
        <v>324</v>
      </c>
      <c r="C60" s="36" t="s">
        <v>325</v>
      </c>
      <c r="D60" s="40">
        <v>45757</v>
      </c>
      <c r="E60" s="36" t="s">
        <v>326</v>
      </c>
      <c r="F60" s="36" t="s">
        <v>22</v>
      </c>
      <c r="G60" s="36" t="s">
        <v>131</v>
      </c>
      <c r="H60" s="36" t="s">
        <v>20</v>
      </c>
      <c r="I60" s="36" t="s">
        <v>20</v>
      </c>
      <c r="J60" s="36" t="s">
        <v>183</v>
      </c>
      <c r="K60" s="36" t="s">
        <v>102</v>
      </c>
      <c r="L60" s="37">
        <v>366.42</v>
      </c>
      <c r="M60" s="37">
        <v>660.17</v>
      </c>
      <c r="N60" s="37">
        <v>293.75</v>
      </c>
      <c r="O60" s="36" t="s">
        <v>103</v>
      </c>
      <c r="P60" s="36">
        <v>2</v>
      </c>
      <c r="Q60" s="41">
        <f t="shared" si="0"/>
        <v>1.8016756727252878</v>
      </c>
      <c r="R60" s="38">
        <f t="shared" si="1"/>
        <v>0</v>
      </c>
    </row>
    <row r="61" spans="1:18" x14ac:dyDescent="0.2">
      <c r="A61" s="42" t="s">
        <v>327</v>
      </c>
      <c r="B61" s="42" t="s">
        <v>328</v>
      </c>
      <c r="C61" s="42" t="s">
        <v>329</v>
      </c>
      <c r="D61" s="43">
        <v>45710</v>
      </c>
      <c r="E61" s="42" t="s">
        <v>330</v>
      </c>
      <c r="F61" s="42" t="s">
        <v>22</v>
      </c>
      <c r="G61" s="42" t="s">
        <v>126</v>
      </c>
      <c r="H61" s="42" t="s">
        <v>30</v>
      </c>
      <c r="I61" s="42" t="s">
        <v>30</v>
      </c>
      <c r="J61" s="42" t="s">
        <v>143</v>
      </c>
      <c r="K61" s="42" t="s">
        <v>102</v>
      </c>
      <c r="L61" s="44">
        <v>106.66</v>
      </c>
      <c r="M61" s="44">
        <v>141.35</v>
      </c>
      <c r="N61" s="44">
        <v>34.69</v>
      </c>
      <c r="O61" s="42" t="s">
        <v>103</v>
      </c>
      <c r="P61" s="42">
        <v>2</v>
      </c>
      <c r="Q61" s="45">
        <f t="shared" si="0"/>
        <v>1.3252390774423402</v>
      </c>
      <c r="R61" s="46">
        <f t="shared" si="1"/>
        <v>10</v>
      </c>
    </row>
    <row r="62" spans="1:18" x14ac:dyDescent="0.2">
      <c r="A62" s="36" t="s">
        <v>331</v>
      </c>
      <c r="B62" s="36" t="s">
        <v>332</v>
      </c>
      <c r="C62" s="36" t="s">
        <v>333</v>
      </c>
      <c r="D62" s="40">
        <v>45748</v>
      </c>
      <c r="E62" s="36" t="s">
        <v>334</v>
      </c>
      <c r="F62" s="36" t="s">
        <v>31</v>
      </c>
      <c r="G62" s="36" t="s">
        <v>114</v>
      </c>
      <c r="H62" s="36" t="s">
        <v>34</v>
      </c>
      <c r="I62" s="36" t="s">
        <v>34</v>
      </c>
      <c r="J62" s="36" t="s">
        <v>152</v>
      </c>
      <c r="K62" s="36" t="s">
        <v>103</v>
      </c>
      <c r="L62" s="37">
        <v>237.34</v>
      </c>
      <c r="M62" s="37">
        <v>294.35000000000002</v>
      </c>
      <c r="N62" s="37">
        <v>57.01</v>
      </c>
      <c r="O62" s="36" t="s">
        <v>103</v>
      </c>
      <c r="P62" s="36">
        <v>0</v>
      </c>
      <c r="Q62" s="41">
        <f t="shared" si="0"/>
        <v>1.2402039268559872</v>
      </c>
      <c r="R62" s="38">
        <f t="shared" si="1"/>
        <v>20</v>
      </c>
    </row>
    <row r="63" spans="1:18" x14ac:dyDescent="0.2">
      <c r="A63" s="42" t="s">
        <v>335</v>
      </c>
      <c r="B63" s="42" t="s">
        <v>336</v>
      </c>
      <c r="C63" s="42" t="s">
        <v>337</v>
      </c>
      <c r="D63" s="43">
        <v>45947</v>
      </c>
      <c r="E63" s="42" t="s">
        <v>338</v>
      </c>
      <c r="F63" s="42" t="s">
        <v>27</v>
      </c>
      <c r="G63" s="42" t="s">
        <v>120</v>
      </c>
      <c r="H63" s="42" t="s">
        <v>34</v>
      </c>
      <c r="I63" s="42" t="s">
        <v>34</v>
      </c>
      <c r="J63" s="42" t="s">
        <v>121</v>
      </c>
      <c r="K63" s="42" t="s">
        <v>103</v>
      </c>
      <c r="L63" s="44">
        <v>493.4</v>
      </c>
      <c r="M63" s="44">
        <v>350.84</v>
      </c>
      <c r="N63" s="44">
        <v>-142.56</v>
      </c>
      <c r="O63" s="42" t="s">
        <v>103</v>
      </c>
      <c r="P63" s="42">
        <v>0</v>
      </c>
      <c r="Q63" s="45">
        <f t="shared" si="0"/>
        <v>0.7110660721524118</v>
      </c>
      <c r="R63" s="46">
        <f t="shared" si="1"/>
        <v>20</v>
      </c>
    </row>
    <row r="64" spans="1:18" x14ac:dyDescent="0.2">
      <c r="A64" s="36" t="s">
        <v>339</v>
      </c>
      <c r="B64" s="36" t="s">
        <v>340</v>
      </c>
      <c r="C64" s="36" t="s">
        <v>341</v>
      </c>
      <c r="D64" s="40">
        <v>45883</v>
      </c>
      <c r="E64" s="36" t="s">
        <v>342</v>
      </c>
      <c r="F64" s="36" t="s">
        <v>19</v>
      </c>
      <c r="G64" s="36" t="s">
        <v>108</v>
      </c>
      <c r="H64" s="36" t="s">
        <v>32</v>
      </c>
      <c r="I64" s="36" t="s">
        <v>32</v>
      </c>
      <c r="J64" s="36" t="s">
        <v>132</v>
      </c>
      <c r="K64" s="36" t="s">
        <v>102</v>
      </c>
      <c r="L64" s="37">
        <v>226.68</v>
      </c>
      <c r="M64" s="37">
        <v>151.02000000000001</v>
      </c>
      <c r="N64" s="37">
        <v>-75.66</v>
      </c>
      <c r="O64" s="36" t="s">
        <v>103</v>
      </c>
      <c r="P64" s="36">
        <v>2</v>
      </c>
      <c r="Q64" s="41">
        <f t="shared" si="0"/>
        <v>0.66622551614610903</v>
      </c>
      <c r="R64" s="38">
        <f t="shared" si="1"/>
        <v>0</v>
      </c>
    </row>
    <row r="65" spans="1:18" x14ac:dyDescent="0.2">
      <c r="A65" s="42" t="s">
        <v>343</v>
      </c>
      <c r="B65" s="42" t="s">
        <v>52</v>
      </c>
      <c r="C65" s="42" t="s">
        <v>53</v>
      </c>
      <c r="D65" s="43">
        <v>45838</v>
      </c>
      <c r="E65" s="42" t="s">
        <v>344</v>
      </c>
      <c r="F65" s="42" t="s">
        <v>19</v>
      </c>
      <c r="G65" s="42" t="s">
        <v>100</v>
      </c>
      <c r="H65" s="42" t="s">
        <v>32</v>
      </c>
      <c r="I65" s="42" t="s">
        <v>30</v>
      </c>
      <c r="J65" s="42" t="s">
        <v>109</v>
      </c>
      <c r="K65" s="42" t="s">
        <v>102</v>
      </c>
      <c r="L65" s="44">
        <v>849.75</v>
      </c>
      <c r="M65" s="44">
        <v>2375.5500000000002</v>
      </c>
      <c r="N65" s="44">
        <v>1525.8</v>
      </c>
      <c r="O65" s="42" t="s">
        <v>318</v>
      </c>
      <c r="P65" s="42">
        <v>1</v>
      </c>
      <c r="Q65" s="45">
        <f t="shared" si="0"/>
        <v>2.7955869373345106</v>
      </c>
      <c r="R65" s="46">
        <f t="shared" si="1"/>
        <v>47</v>
      </c>
    </row>
    <row r="66" spans="1:18" x14ac:dyDescent="0.2">
      <c r="A66" s="36" t="s">
        <v>345</v>
      </c>
      <c r="B66" s="36" t="s">
        <v>346</v>
      </c>
      <c r="C66" s="36" t="s">
        <v>347</v>
      </c>
      <c r="D66" s="40">
        <v>45704</v>
      </c>
      <c r="E66" s="36" t="s">
        <v>348</v>
      </c>
      <c r="F66" s="36" t="s">
        <v>31</v>
      </c>
      <c r="G66" s="36" t="s">
        <v>126</v>
      </c>
      <c r="H66" s="36" t="s">
        <v>28</v>
      </c>
      <c r="I66" s="36" t="s">
        <v>28</v>
      </c>
      <c r="J66" s="36" t="s">
        <v>109</v>
      </c>
      <c r="K66" s="36" t="s">
        <v>103</v>
      </c>
      <c r="L66" s="37">
        <v>258.45999999999998</v>
      </c>
      <c r="M66" s="37">
        <v>263.10000000000002</v>
      </c>
      <c r="N66" s="37">
        <v>4.6399999999999997</v>
      </c>
      <c r="O66" s="36" t="s">
        <v>103</v>
      </c>
      <c r="P66" s="36">
        <v>1</v>
      </c>
      <c r="Q66" s="41">
        <f t="shared" ref="Q66:Q129" si="2">IF(L66=0,0,M66/L66)</f>
        <v>1.0179524878124275</v>
      </c>
      <c r="R66" s="38">
        <f t="shared" ref="R66:R129" si="3">IF(O66="YES",30,0)+IF(Q66&gt;3,25,IF(Q66&gt;2,10,0))+IF(K66="No",20,0)+IF(L66&gt;1000,15,IF(L66&gt;500,7,0))+IF(G66="Unknown-Device",10,0)</f>
        <v>30</v>
      </c>
    </row>
    <row r="67" spans="1:18" x14ac:dyDescent="0.2">
      <c r="A67" s="42" t="s">
        <v>349</v>
      </c>
      <c r="B67" s="42" t="s">
        <v>140</v>
      </c>
      <c r="C67" s="42" t="s">
        <v>141</v>
      </c>
      <c r="D67" s="43">
        <v>45888</v>
      </c>
      <c r="E67" s="42" t="s">
        <v>350</v>
      </c>
      <c r="F67" s="42" t="s">
        <v>31</v>
      </c>
      <c r="G67" s="42" t="s">
        <v>131</v>
      </c>
      <c r="H67" s="42" t="s">
        <v>30</v>
      </c>
      <c r="I67" s="42" t="s">
        <v>30</v>
      </c>
      <c r="J67" s="42" t="s">
        <v>143</v>
      </c>
      <c r="K67" s="42" t="s">
        <v>102</v>
      </c>
      <c r="L67" s="44">
        <v>102.24</v>
      </c>
      <c r="M67" s="44">
        <v>136.08000000000001</v>
      </c>
      <c r="N67" s="44">
        <v>33.840000000000003</v>
      </c>
      <c r="O67" s="42" t="s">
        <v>103</v>
      </c>
      <c r="P67" s="42">
        <v>2</v>
      </c>
      <c r="Q67" s="45">
        <f t="shared" si="2"/>
        <v>1.330985915492958</v>
      </c>
      <c r="R67" s="46">
        <f t="shared" si="3"/>
        <v>0</v>
      </c>
    </row>
    <row r="68" spans="1:18" x14ac:dyDescent="0.2">
      <c r="A68" s="36" t="s">
        <v>351</v>
      </c>
      <c r="B68" s="36" t="s">
        <v>352</v>
      </c>
      <c r="C68" s="36" t="s">
        <v>353</v>
      </c>
      <c r="D68" s="40">
        <v>45888</v>
      </c>
      <c r="E68" s="36" t="s">
        <v>354</v>
      </c>
      <c r="F68" s="36" t="s">
        <v>27</v>
      </c>
      <c r="G68" s="36" t="s">
        <v>100</v>
      </c>
      <c r="H68" s="36" t="s">
        <v>34</v>
      </c>
      <c r="I68" s="36" t="s">
        <v>34</v>
      </c>
      <c r="J68" s="36" t="s">
        <v>121</v>
      </c>
      <c r="K68" s="36" t="s">
        <v>102</v>
      </c>
      <c r="L68" s="37">
        <v>450.57</v>
      </c>
      <c r="M68" s="37">
        <v>340.43</v>
      </c>
      <c r="N68" s="37">
        <v>-110.14</v>
      </c>
      <c r="O68" s="36" t="s">
        <v>103</v>
      </c>
      <c r="P68" s="36">
        <v>0</v>
      </c>
      <c r="Q68" s="41">
        <f t="shared" si="2"/>
        <v>0.75555407594824331</v>
      </c>
      <c r="R68" s="38">
        <f t="shared" si="3"/>
        <v>0</v>
      </c>
    </row>
    <row r="69" spans="1:18" x14ac:dyDescent="0.2">
      <c r="A69" s="42" t="s">
        <v>355</v>
      </c>
      <c r="B69" s="42" t="s">
        <v>356</v>
      </c>
      <c r="C69" s="42" t="s">
        <v>357</v>
      </c>
      <c r="D69" s="43">
        <v>45988</v>
      </c>
      <c r="E69" s="42" t="s">
        <v>358</v>
      </c>
      <c r="F69" s="42" t="s">
        <v>29</v>
      </c>
      <c r="G69" s="42" t="s">
        <v>108</v>
      </c>
      <c r="H69" s="42" t="s">
        <v>28</v>
      </c>
      <c r="I69" s="42" t="s">
        <v>28</v>
      </c>
      <c r="J69" s="42" t="s">
        <v>109</v>
      </c>
      <c r="K69" s="42" t="s">
        <v>102</v>
      </c>
      <c r="L69" s="44">
        <v>131.38999999999999</v>
      </c>
      <c r="M69" s="44">
        <v>126.54</v>
      </c>
      <c r="N69" s="44">
        <v>-4.8499999999999996</v>
      </c>
      <c r="O69" s="42" t="s">
        <v>103</v>
      </c>
      <c r="P69" s="42">
        <v>0</v>
      </c>
      <c r="Q69" s="45">
        <f t="shared" si="2"/>
        <v>0.96308699292183586</v>
      </c>
      <c r="R69" s="46">
        <f t="shared" si="3"/>
        <v>0</v>
      </c>
    </row>
    <row r="70" spans="1:18" x14ac:dyDescent="0.2">
      <c r="A70" s="36" t="s">
        <v>359</v>
      </c>
      <c r="B70" s="36" t="s">
        <v>360</v>
      </c>
      <c r="C70" s="36" t="s">
        <v>361</v>
      </c>
      <c r="D70" s="40">
        <v>45970</v>
      </c>
      <c r="E70" s="36" t="s">
        <v>362</v>
      </c>
      <c r="F70" s="36" t="s">
        <v>29</v>
      </c>
      <c r="G70" s="36" t="s">
        <v>120</v>
      </c>
      <c r="H70" s="36" t="s">
        <v>26</v>
      </c>
      <c r="I70" s="36" t="s">
        <v>26</v>
      </c>
      <c r="J70" s="36" t="s">
        <v>303</v>
      </c>
      <c r="K70" s="36" t="s">
        <v>102</v>
      </c>
      <c r="L70" s="37">
        <v>192.7</v>
      </c>
      <c r="M70" s="37">
        <v>119.93</v>
      </c>
      <c r="N70" s="37">
        <v>-72.77</v>
      </c>
      <c r="O70" s="36" t="s">
        <v>103</v>
      </c>
      <c r="P70" s="36">
        <v>0</v>
      </c>
      <c r="Q70" s="41">
        <f t="shared" si="2"/>
        <v>0.62236637259989624</v>
      </c>
      <c r="R70" s="38">
        <f t="shared" si="3"/>
        <v>0</v>
      </c>
    </row>
    <row r="71" spans="1:18" x14ac:dyDescent="0.2">
      <c r="A71" s="42" t="s">
        <v>363</v>
      </c>
      <c r="B71" s="42" t="s">
        <v>364</v>
      </c>
      <c r="C71" s="42" t="s">
        <v>365</v>
      </c>
      <c r="D71" s="43">
        <v>45964</v>
      </c>
      <c r="E71" s="42" t="s">
        <v>366</v>
      </c>
      <c r="F71" s="42" t="s">
        <v>19</v>
      </c>
      <c r="G71" s="42" t="s">
        <v>100</v>
      </c>
      <c r="H71" s="42" t="s">
        <v>34</v>
      </c>
      <c r="I71" s="42" t="s">
        <v>34</v>
      </c>
      <c r="J71" s="42" t="s">
        <v>188</v>
      </c>
      <c r="K71" s="42" t="s">
        <v>102</v>
      </c>
      <c r="L71" s="44">
        <v>319.13</v>
      </c>
      <c r="M71" s="44">
        <v>234.95</v>
      </c>
      <c r="N71" s="44">
        <v>-84.18</v>
      </c>
      <c r="O71" s="42" t="s">
        <v>103</v>
      </c>
      <c r="P71" s="42">
        <v>1</v>
      </c>
      <c r="Q71" s="45">
        <f t="shared" si="2"/>
        <v>0.73622034907404499</v>
      </c>
      <c r="R71" s="46">
        <f t="shared" si="3"/>
        <v>0</v>
      </c>
    </row>
    <row r="72" spans="1:18" x14ac:dyDescent="0.2">
      <c r="A72" s="36" t="s">
        <v>367</v>
      </c>
      <c r="B72" s="36" t="s">
        <v>368</v>
      </c>
      <c r="C72" s="36" t="s">
        <v>369</v>
      </c>
      <c r="D72" s="40">
        <v>46005</v>
      </c>
      <c r="E72" s="36" t="s">
        <v>370</v>
      </c>
      <c r="F72" s="36" t="s">
        <v>31</v>
      </c>
      <c r="G72" s="36" t="s">
        <v>131</v>
      </c>
      <c r="H72" s="36" t="s">
        <v>34</v>
      </c>
      <c r="I72" s="36" t="s">
        <v>34</v>
      </c>
      <c r="J72" s="36" t="s">
        <v>121</v>
      </c>
      <c r="K72" s="36" t="s">
        <v>102</v>
      </c>
      <c r="L72" s="37">
        <v>133.47999999999999</v>
      </c>
      <c r="M72" s="37">
        <v>250.07</v>
      </c>
      <c r="N72" s="37">
        <v>116.59</v>
      </c>
      <c r="O72" s="36" t="s">
        <v>103</v>
      </c>
      <c r="P72" s="36">
        <v>1</v>
      </c>
      <c r="Q72" s="41">
        <f t="shared" si="2"/>
        <v>1.8734641893916693</v>
      </c>
      <c r="R72" s="38">
        <f t="shared" si="3"/>
        <v>0</v>
      </c>
    </row>
    <row r="73" spans="1:18" x14ac:dyDescent="0.2">
      <c r="A73" s="42" t="s">
        <v>371</v>
      </c>
      <c r="B73" s="42" t="s">
        <v>372</v>
      </c>
      <c r="C73" s="42" t="s">
        <v>373</v>
      </c>
      <c r="D73" s="43">
        <v>45699</v>
      </c>
      <c r="E73" s="42" t="s">
        <v>374</v>
      </c>
      <c r="F73" s="42" t="s">
        <v>27</v>
      </c>
      <c r="G73" s="42" t="s">
        <v>126</v>
      </c>
      <c r="H73" s="42" t="s">
        <v>28</v>
      </c>
      <c r="I73" s="42" t="s">
        <v>28</v>
      </c>
      <c r="J73" s="42" t="s">
        <v>109</v>
      </c>
      <c r="K73" s="42" t="s">
        <v>102</v>
      </c>
      <c r="L73" s="44">
        <v>79.3</v>
      </c>
      <c r="M73" s="44">
        <v>61.03</v>
      </c>
      <c r="N73" s="44">
        <v>-18.27</v>
      </c>
      <c r="O73" s="42" t="s">
        <v>103</v>
      </c>
      <c r="P73" s="42">
        <v>2</v>
      </c>
      <c r="Q73" s="45">
        <f t="shared" si="2"/>
        <v>0.76960907944514501</v>
      </c>
      <c r="R73" s="46">
        <f t="shared" si="3"/>
        <v>10</v>
      </c>
    </row>
    <row r="74" spans="1:18" x14ac:dyDescent="0.2">
      <c r="A74" s="36" t="s">
        <v>375</v>
      </c>
      <c r="B74" s="36" t="s">
        <v>376</v>
      </c>
      <c r="C74" s="36" t="s">
        <v>377</v>
      </c>
      <c r="D74" s="40">
        <v>45858</v>
      </c>
      <c r="E74" s="36" t="s">
        <v>378</v>
      </c>
      <c r="F74" s="36" t="s">
        <v>31</v>
      </c>
      <c r="G74" s="36" t="s">
        <v>114</v>
      </c>
      <c r="H74" s="36" t="s">
        <v>30</v>
      </c>
      <c r="I74" s="36" t="s">
        <v>30</v>
      </c>
      <c r="J74" s="36" t="s">
        <v>143</v>
      </c>
      <c r="K74" s="36" t="s">
        <v>102</v>
      </c>
      <c r="L74" s="37">
        <v>357.33</v>
      </c>
      <c r="M74" s="37">
        <v>66.599999999999994</v>
      </c>
      <c r="N74" s="37">
        <v>-290.73</v>
      </c>
      <c r="O74" s="36" t="s">
        <v>103</v>
      </c>
      <c r="P74" s="36">
        <v>0</v>
      </c>
      <c r="Q74" s="41">
        <f t="shared" si="2"/>
        <v>0.1863823356561162</v>
      </c>
      <c r="R74" s="38">
        <f t="shared" si="3"/>
        <v>0</v>
      </c>
    </row>
    <row r="75" spans="1:18" x14ac:dyDescent="0.2">
      <c r="A75" s="42" t="s">
        <v>379</v>
      </c>
      <c r="B75" s="42" t="s">
        <v>380</v>
      </c>
      <c r="C75" s="42" t="s">
        <v>381</v>
      </c>
      <c r="D75" s="43">
        <v>46063</v>
      </c>
      <c r="E75" s="42" t="s">
        <v>382</v>
      </c>
      <c r="F75" s="42" t="s">
        <v>27</v>
      </c>
      <c r="G75" s="42" t="s">
        <v>126</v>
      </c>
      <c r="H75" s="42" t="s">
        <v>34</v>
      </c>
      <c r="I75" s="42" t="s">
        <v>34</v>
      </c>
      <c r="J75" s="42" t="s">
        <v>121</v>
      </c>
      <c r="K75" s="42" t="s">
        <v>103</v>
      </c>
      <c r="L75" s="44">
        <v>72.62</v>
      </c>
      <c r="M75" s="44">
        <v>112.29</v>
      </c>
      <c r="N75" s="44">
        <v>39.67</v>
      </c>
      <c r="O75" s="42" t="s">
        <v>103</v>
      </c>
      <c r="P75" s="42">
        <v>1</v>
      </c>
      <c r="Q75" s="45">
        <f t="shared" si="2"/>
        <v>1.546268245662352</v>
      </c>
      <c r="R75" s="46">
        <f t="shared" si="3"/>
        <v>30</v>
      </c>
    </row>
    <row r="76" spans="1:18" x14ac:dyDescent="0.2">
      <c r="A76" s="36" t="s">
        <v>383</v>
      </c>
      <c r="B76" s="36" t="s">
        <v>384</v>
      </c>
      <c r="C76" s="36" t="s">
        <v>385</v>
      </c>
      <c r="D76" s="40">
        <v>45705</v>
      </c>
      <c r="E76" s="36" t="s">
        <v>386</v>
      </c>
      <c r="F76" s="36" t="s">
        <v>19</v>
      </c>
      <c r="G76" s="36" t="s">
        <v>120</v>
      </c>
      <c r="H76" s="36" t="s">
        <v>34</v>
      </c>
      <c r="I76" s="36" t="s">
        <v>34</v>
      </c>
      <c r="J76" s="36" t="s">
        <v>115</v>
      </c>
      <c r="K76" s="36" t="s">
        <v>102</v>
      </c>
      <c r="L76" s="37">
        <v>217.47</v>
      </c>
      <c r="M76" s="37">
        <v>173.11</v>
      </c>
      <c r="N76" s="37">
        <v>-44.36</v>
      </c>
      <c r="O76" s="36" t="s">
        <v>103</v>
      </c>
      <c r="P76" s="36">
        <v>0</v>
      </c>
      <c r="Q76" s="41">
        <f t="shared" si="2"/>
        <v>0.79601784154136213</v>
      </c>
      <c r="R76" s="38">
        <f t="shared" si="3"/>
        <v>0</v>
      </c>
    </row>
    <row r="77" spans="1:18" x14ac:dyDescent="0.2">
      <c r="A77" s="42" t="s">
        <v>387</v>
      </c>
      <c r="B77" s="42" t="s">
        <v>388</v>
      </c>
      <c r="C77" s="42" t="s">
        <v>389</v>
      </c>
      <c r="D77" s="43">
        <v>45767</v>
      </c>
      <c r="E77" s="42" t="s">
        <v>322</v>
      </c>
      <c r="F77" s="42" t="s">
        <v>33</v>
      </c>
      <c r="G77" s="42" t="s">
        <v>131</v>
      </c>
      <c r="H77" s="42" t="s">
        <v>30</v>
      </c>
      <c r="I77" s="42" t="s">
        <v>30</v>
      </c>
      <c r="J77" s="42" t="s">
        <v>143</v>
      </c>
      <c r="K77" s="42" t="s">
        <v>102</v>
      </c>
      <c r="L77" s="44">
        <v>248.27</v>
      </c>
      <c r="M77" s="44">
        <v>123.74</v>
      </c>
      <c r="N77" s="44">
        <v>-124.53</v>
      </c>
      <c r="O77" s="42" t="s">
        <v>103</v>
      </c>
      <c r="P77" s="42">
        <v>0</v>
      </c>
      <c r="Q77" s="45">
        <f t="shared" si="2"/>
        <v>0.49840899021226887</v>
      </c>
      <c r="R77" s="46">
        <f t="shared" si="3"/>
        <v>0</v>
      </c>
    </row>
    <row r="78" spans="1:18" x14ac:dyDescent="0.2">
      <c r="A78" s="36" t="s">
        <v>390</v>
      </c>
      <c r="B78" s="36" t="s">
        <v>332</v>
      </c>
      <c r="C78" s="36" t="s">
        <v>333</v>
      </c>
      <c r="D78" s="40">
        <v>45809</v>
      </c>
      <c r="E78" s="36" t="s">
        <v>391</v>
      </c>
      <c r="F78" s="36" t="s">
        <v>31</v>
      </c>
      <c r="G78" s="36" t="s">
        <v>100</v>
      </c>
      <c r="H78" s="36" t="s">
        <v>34</v>
      </c>
      <c r="I78" s="36" t="s">
        <v>34</v>
      </c>
      <c r="J78" s="36" t="s">
        <v>152</v>
      </c>
      <c r="K78" s="36" t="s">
        <v>103</v>
      </c>
      <c r="L78" s="37">
        <v>387.73</v>
      </c>
      <c r="M78" s="37">
        <v>712.36</v>
      </c>
      <c r="N78" s="37">
        <v>324.63</v>
      </c>
      <c r="O78" s="36" t="s">
        <v>103</v>
      </c>
      <c r="P78" s="36">
        <v>0</v>
      </c>
      <c r="Q78" s="41">
        <f t="shared" si="2"/>
        <v>1.8372578856420705</v>
      </c>
      <c r="R78" s="38">
        <f t="shared" si="3"/>
        <v>20</v>
      </c>
    </row>
    <row r="79" spans="1:18" x14ac:dyDescent="0.2">
      <c r="A79" s="42" t="s">
        <v>392</v>
      </c>
      <c r="B79" s="42" t="s">
        <v>376</v>
      </c>
      <c r="C79" s="42" t="s">
        <v>377</v>
      </c>
      <c r="D79" s="43">
        <v>45830</v>
      </c>
      <c r="E79" s="42" t="s">
        <v>393</v>
      </c>
      <c r="F79" s="42" t="s">
        <v>33</v>
      </c>
      <c r="G79" s="42" t="s">
        <v>126</v>
      </c>
      <c r="H79" s="42" t="s">
        <v>30</v>
      </c>
      <c r="I79" s="42" t="s">
        <v>30</v>
      </c>
      <c r="J79" s="42" t="s">
        <v>143</v>
      </c>
      <c r="K79" s="42" t="s">
        <v>102</v>
      </c>
      <c r="L79" s="44">
        <v>302.64999999999998</v>
      </c>
      <c r="M79" s="44">
        <v>102.71</v>
      </c>
      <c r="N79" s="44">
        <v>-199.94</v>
      </c>
      <c r="O79" s="42" t="s">
        <v>103</v>
      </c>
      <c r="P79" s="42">
        <v>0</v>
      </c>
      <c r="Q79" s="45">
        <f t="shared" si="2"/>
        <v>0.3393689079795143</v>
      </c>
      <c r="R79" s="46">
        <f t="shared" si="3"/>
        <v>10</v>
      </c>
    </row>
    <row r="80" spans="1:18" x14ac:dyDescent="0.2">
      <c r="A80" s="36" t="s">
        <v>394</v>
      </c>
      <c r="B80" s="36" t="s">
        <v>395</v>
      </c>
      <c r="C80" s="36" t="s">
        <v>396</v>
      </c>
      <c r="D80" s="40">
        <v>45977</v>
      </c>
      <c r="E80" s="36" t="s">
        <v>397</v>
      </c>
      <c r="F80" s="36" t="s">
        <v>27</v>
      </c>
      <c r="G80" s="36" t="s">
        <v>126</v>
      </c>
      <c r="H80" s="36" t="s">
        <v>23</v>
      </c>
      <c r="I80" s="36" t="s">
        <v>23</v>
      </c>
      <c r="J80" s="36" t="s">
        <v>101</v>
      </c>
      <c r="K80" s="36" t="s">
        <v>102</v>
      </c>
      <c r="L80" s="37">
        <v>224.46</v>
      </c>
      <c r="M80" s="37">
        <v>202.89</v>
      </c>
      <c r="N80" s="37">
        <v>-21.57</v>
      </c>
      <c r="O80" s="36" t="s">
        <v>103</v>
      </c>
      <c r="P80" s="36">
        <v>0</v>
      </c>
      <c r="Q80" s="41">
        <f t="shared" si="2"/>
        <v>0.90390269981288418</v>
      </c>
      <c r="R80" s="38">
        <f t="shared" si="3"/>
        <v>10</v>
      </c>
    </row>
    <row r="81" spans="1:18" x14ac:dyDescent="0.2">
      <c r="A81" s="42" t="s">
        <v>398</v>
      </c>
      <c r="B81" s="42" t="s">
        <v>328</v>
      </c>
      <c r="C81" s="42" t="s">
        <v>329</v>
      </c>
      <c r="D81" s="43">
        <v>45885</v>
      </c>
      <c r="E81" s="42" t="s">
        <v>399</v>
      </c>
      <c r="F81" s="42" t="s">
        <v>33</v>
      </c>
      <c r="G81" s="42" t="s">
        <v>108</v>
      </c>
      <c r="H81" s="42" t="s">
        <v>30</v>
      </c>
      <c r="I81" s="42" t="s">
        <v>30</v>
      </c>
      <c r="J81" s="42" t="s">
        <v>143</v>
      </c>
      <c r="K81" s="42" t="s">
        <v>102</v>
      </c>
      <c r="L81" s="44">
        <v>378.67</v>
      </c>
      <c r="M81" s="44">
        <v>652.96</v>
      </c>
      <c r="N81" s="44">
        <v>274.29000000000002</v>
      </c>
      <c r="O81" s="42" t="s">
        <v>103</v>
      </c>
      <c r="P81" s="42">
        <v>2</v>
      </c>
      <c r="Q81" s="45">
        <f t="shared" si="2"/>
        <v>1.7243510180368131</v>
      </c>
      <c r="R81" s="46">
        <f t="shared" si="3"/>
        <v>0</v>
      </c>
    </row>
    <row r="82" spans="1:18" x14ac:dyDescent="0.2">
      <c r="A82" s="36" t="s">
        <v>400</v>
      </c>
      <c r="B82" s="36" t="s">
        <v>401</v>
      </c>
      <c r="C82" s="36" t="s">
        <v>402</v>
      </c>
      <c r="D82" s="40">
        <v>45816</v>
      </c>
      <c r="E82" s="36" t="s">
        <v>403</v>
      </c>
      <c r="F82" s="36" t="s">
        <v>31</v>
      </c>
      <c r="G82" s="36" t="s">
        <v>114</v>
      </c>
      <c r="H82" s="36" t="s">
        <v>20</v>
      </c>
      <c r="I82" s="36" t="s">
        <v>20</v>
      </c>
      <c r="J82" s="36" t="s">
        <v>183</v>
      </c>
      <c r="K82" s="36" t="s">
        <v>102</v>
      </c>
      <c r="L82" s="37">
        <v>419.21</v>
      </c>
      <c r="M82" s="37">
        <v>339.25</v>
      </c>
      <c r="N82" s="37">
        <v>-79.959999999999994</v>
      </c>
      <c r="O82" s="36" t="s">
        <v>103</v>
      </c>
      <c r="P82" s="36">
        <v>1</v>
      </c>
      <c r="Q82" s="41">
        <f t="shared" si="2"/>
        <v>0.8092602752796928</v>
      </c>
      <c r="R82" s="38">
        <f t="shared" si="3"/>
        <v>0</v>
      </c>
    </row>
    <row r="83" spans="1:18" x14ac:dyDescent="0.2">
      <c r="A83" s="42" t="s">
        <v>404</v>
      </c>
      <c r="B83" s="42" t="s">
        <v>405</v>
      </c>
      <c r="C83" s="42" t="s">
        <v>406</v>
      </c>
      <c r="D83" s="43">
        <v>46051</v>
      </c>
      <c r="E83" s="42" t="s">
        <v>407</v>
      </c>
      <c r="F83" s="42" t="s">
        <v>33</v>
      </c>
      <c r="G83" s="42" t="s">
        <v>131</v>
      </c>
      <c r="H83" s="42" t="s">
        <v>26</v>
      </c>
      <c r="I83" s="42" t="s">
        <v>26</v>
      </c>
      <c r="J83" s="42" t="s">
        <v>303</v>
      </c>
      <c r="K83" s="42" t="s">
        <v>102</v>
      </c>
      <c r="L83" s="44">
        <v>197.12</v>
      </c>
      <c r="M83" s="44">
        <v>228.74</v>
      </c>
      <c r="N83" s="44">
        <v>31.62</v>
      </c>
      <c r="O83" s="42" t="s">
        <v>103</v>
      </c>
      <c r="P83" s="42">
        <v>0</v>
      </c>
      <c r="Q83" s="45">
        <f t="shared" si="2"/>
        <v>1.1604099025974026</v>
      </c>
      <c r="R83" s="46">
        <f t="shared" si="3"/>
        <v>0</v>
      </c>
    </row>
    <row r="84" spans="1:18" x14ac:dyDescent="0.2">
      <c r="A84" s="36" t="s">
        <v>408</v>
      </c>
      <c r="B84" s="36" t="s">
        <v>240</v>
      </c>
      <c r="C84" s="36" t="s">
        <v>241</v>
      </c>
      <c r="D84" s="40">
        <v>45728</v>
      </c>
      <c r="E84" s="36" t="s">
        <v>409</v>
      </c>
      <c r="F84" s="36" t="s">
        <v>31</v>
      </c>
      <c r="G84" s="36" t="s">
        <v>100</v>
      </c>
      <c r="H84" s="36" t="s">
        <v>28</v>
      </c>
      <c r="I84" s="36" t="s">
        <v>28</v>
      </c>
      <c r="J84" s="36" t="s">
        <v>109</v>
      </c>
      <c r="K84" s="36" t="s">
        <v>102</v>
      </c>
      <c r="L84" s="37">
        <v>324.18</v>
      </c>
      <c r="M84" s="37">
        <v>623.41999999999996</v>
      </c>
      <c r="N84" s="37">
        <v>299.24</v>
      </c>
      <c r="O84" s="36" t="s">
        <v>103</v>
      </c>
      <c r="P84" s="36">
        <v>0</v>
      </c>
      <c r="Q84" s="41">
        <f t="shared" si="2"/>
        <v>1.9230674316737613</v>
      </c>
      <c r="R84" s="38">
        <f t="shared" si="3"/>
        <v>0</v>
      </c>
    </row>
    <row r="85" spans="1:18" x14ac:dyDescent="0.2">
      <c r="A85" s="42" t="s">
        <v>410</v>
      </c>
      <c r="B85" s="42" t="s">
        <v>411</v>
      </c>
      <c r="C85" s="42" t="s">
        <v>412</v>
      </c>
      <c r="D85" s="43">
        <v>45922</v>
      </c>
      <c r="E85" s="42" t="s">
        <v>413</v>
      </c>
      <c r="F85" s="42" t="s">
        <v>29</v>
      </c>
      <c r="G85" s="42" t="s">
        <v>108</v>
      </c>
      <c r="H85" s="42" t="s">
        <v>34</v>
      </c>
      <c r="I85" s="42" t="s">
        <v>34</v>
      </c>
      <c r="J85" s="42" t="s">
        <v>121</v>
      </c>
      <c r="K85" s="42" t="s">
        <v>102</v>
      </c>
      <c r="L85" s="44">
        <v>51.1</v>
      </c>
      <c r="M85" s="44">
        <v>18.02</v>
      </c>
      <c r="N85" s="44">
        <v>-33.08</v>
      </c>
      <c r="O85" s="42" t="s">
        <v>103</v>
      </c>
      <c r="P85" s="42">
        <v>2</v>
      </c>
      <c r="Q85" s="45">
        <f t="shared" si="2"/>
        <v>0.35264187866927593</v>
      </c>
      <c r="R85" s="46">
        <f t="shared" si="3"/>
        <v>0</v>
      </c>
    </row>
    <row r="86" spans="1:18" x14ac:dyDescent="0.2">
      <c r="A86" s="36" t="s">
        <v>414</v>
      </c>
      <c r="B86" s="36" t="s">
        <v>415</v>
      </c>
      <c r="C86" s="36" t="s">
        <v>416</v>
      </c>
      <c r="D86" s="40">
        <v>46083</v>
      </c>
      <c r="E86" s="36" t="s">
        <v>417</v>
      </c>
      <c r="F86" s="36" t="s">
        <v>29</v>
      </c>
      <c r="G86" s="36" t="s">
        <v>120</v>
      </c>
      <c r="H86" s="36" t="s">
        <v>34</v>
      </c>
      <c r="I86" s="36" t="s">
        <v>34</v>
      </c>
      <c r="J86" s="36" t="s">
        <v>121</v>
      </c>
      <c r="K86" s="36" t="s">
        <v>102</v>
      </c>
      <c r="L86" s="37">
        <v>473.74</v>
      </c>
      <c r="M86" s="37">
        <v>231.41</v>
      </c>
      <c r="N86" s="37">
        <v>-242.33</v>
      </c>
      <c r="O86" s="36" t="s">
        <v>103</v>
      </c>
      <c r="P86" s="36">
        <v>0</v>
      </c>
      <c r="Q86" s="41">
        <f t="shared" si="2"/>
        <v>0.48847469075864397</v>
      </c>
      <c r="R86" s="38">
        <f t="shared" si="3"/>
        <v>0</v>
      </c>
    </row>
    <row r="87" spans="1:18" x14ac:dyDescent="0.2">
      <c r="A87" s="42" t="s">
        <v>418</v>
      </c>
      <c r="B87" s="42" t="s">
        <v>54</v>
      </c>
      <c r="C87" s="42" t="s">
        <v>55</v>
      </c>
      <c r="D87" s="43">
        <v>45870</v>
      </c>
      <c r="E87" s="42" t="s">
        <v>419</v>
      </c>
      <c r="F87" s="42" t="s">
        <v>33</v>
      </c>
      <c r="G87" s="42" t="s">
        <v>100</v>
      </c>
      <c r="H87" s="42" t="s">
        <v>34</v>
      </c>
      <c r="I87" s="42" t="s">
        <v>30</v>
      </c>
      <c r="J87" s="42" t="s">
        <v>143</v>
      </c>
      <c r="K87" s="42" t="s">
        <v>102</v>
      </c>
      <c r="L87" s="44">
        <v>4091.34</v>
      </c>
      <c r="M87" s="44">
        <v>8265.8799999999992</v>
      </c>
      <c r="N87" s="44">
        <v>4174.54</v>
      </c>
      <c r="O87" s="42" t="s">
        <v>318</v>
      </c>
      <c r="P87" s="42">
        <v>0</v>
      </c>
      <c r="Q87" s="45">
        <f t="shared" si="2"/>
        <v>2.0203356357574775</v>
      </c>
      <c r="R87" s="46">
        <f t="shared" si="3"/>
        <v>55</v>
      </c>
    </row>
    <row r="88" spans="1:18" x14ac:dyDescent="0.2">
      <c r="A88" s="36" t="s">
        <v>420</v>
      </c>
      <c r="B88" s="36" t="s">
        <v>56</v>
      </c>
      <c r="C88" s="36" t="s">
        <v>57</v>
      </c>
      <c r="D88" s="40">
        <v>45708</v>
      </c>
      <c r="E88" s="36" t="s">
        <v>421</v>
      </c>
      <c r="F88" s="36" t="s">
        <v>22</v>
      </c>
      <c r="G88" s="36" t="s">
        <v>114</v>
      </c>
      <c r="H88" s="36" t="s">
        <v>34</v>
      </c>
      <c r="I88" s="36" t="s">
        <v>30</v>
      </c>
      <c r="J88" s="36" t="s">
        <v>143</v>
      </c>
      <c r="K88" s="36" t="s">
        <v>102</v>
      </c>
      <c r="L88" s="37">
        <v>1779.68</v>
      </c>
      <c r="M88" s="37">
        <v>4581.92</v>
      </c>
      <c r="N88" s="37">
        <v>2802.24</v>
      </c>
      <c r="O88" s="36" t="s">
        <v>318</v>
      </c>
      <c r="P88" s="36">
        <v>0</v>
      </c>
      <c r="Q88" s="41">
        <f t="shared" si="2"/>
        <v>2.5745752045311514</v>
      </c>
      <c r="R88" s="38">
        <f t="shared" si="3"/>
        <v>55</v>
      </c>
    </row>
    <row r="89" spans="1:18" x14ac:dyDescent="0.2">
      <c r="A89" s="42" t="s">
        <v>422</v>
      </c>
      <c r="B89" s="42" t="s">
        <v>423</v>
      </c>
      <c r="C89" s="42" t="s">
        <v>424</v>
      </c>
      <c r="D89" s="43">
        <v>46083</v>
      </c>
      <c r="E89" s="42" t="s">
        <v>425</v>
      </c>
      <c r="F89" s="42" t="s">
        <v>25</v>
      </c>
      <c r="G89" s="42" t="s">
        <v>100</v>
      </c>
      <c r="H89" s="42" t="s">
        <v>34</v>
      </c>
      <c r="I89" s="42" t="s">
        <v>34</v>
      </c>
      <c r="J89" s="42" t="s">
        <v>121</v>
      </c>
      <c r="K89" s="42" t="s">
        <v>102</v>
      </c>
      <c r="L89" s="44">
        <v>355.71</v>
      </c>
      <c r="M89" s="44">
        <v>351.06</v>
      </c>
      <c r="N89" s="44">
        <v>-4.6500000000000004</v>
      </c>
      <c r="O89" s="42" t="s">
        <v>103</v>
      </c>
      <c r="P89" s="42">
        <v>0</v>
      </c>
      <c r="Q89" s="45">
        <f t="shared" si="2"/>
        <v>0.98692755334401627</v>
      </c>
      <c r="R89" s="46">
        <f t="shared" si="3"/>
        <v>0</v>
      </c>
    </row>
    <row r="90" spans="1:18" x14ac:dyDescent="0.2">
      <c r="A90" s="36" t="s">
        <v>426</v>
      </c>
      <c r="B90" s="36" t="s">
        <v>427</v>
      </c>
      <c r="C90" s="36" t="s">
        <v>428</v>
      </c>
      <c r="D90" s="40">
        <v>45789</v>
      </c>
      <c r="E90" s="36" t="s">
        <v>429</v>
      </c>
      <c r="F90" s="36" t="s">
        <v>31</v>
      </c>
      <c r="G90" s="36" t="s">
        <v>108</v>
      </c>
      <c r="H90" s="36" t="s">
        <v>34</v>
      </c>
      <c r="I90" s="36" t="s">
        <v>34</v>
      </c>
      <c r="J90" s="36" t="s">
        <v>121</v>
      </c>
      <c r="K90" s="36" t="s">
        <v>102</v>
      </c>
      <c r="L90" s="37">
        <v>83.26</v>
      </c>
      <c r="M90" s="37">
        <v>172.22</v>
      </c>
      <c r="N90" s="37">
        <v>88.96</v>
      </c>
      <c r="O90" s="36" t="s">
        <v>103</v>
      </c>
      <c r="P90" s="36">
        <v>0</v>
      </c>
      <c r="Q90" s="41">
        <f t="shared" si="2"/>
        <v>2.0684602450156135</v>
      </c>
      <c r="R90" s="38">
        <f t="shared" si="3"/>
        <v>10</v>
      </c>
    </row>
    <row r="91" spans="1:18" x14ac:dyDescent="0.2">
      <c r="A91" s="42" t="s">
        <v>430</v>
      </c>
      <c r="B91" s="42" t="s">
        <v>431</v>
      </c>
      <c r="C91" s="42" t="s">
        <v>432</v>
      </c>
      <c r="D91" s="43">
        <v>45714</v>
      </c>
      <c r="E91" s="42" t="s">
        <v>433</v>
      </c>
      <c r="F91" s="42" t="s">
        <v>29</v>
      </c>
      <c r="G91" s="42" t="s">
        <v>126</v>
      </c>
      <c r="H91" s="42" t="s">
        <v>26</v>
      </c>
      <c r="I91" s="42" t="s">
        <v>26</v>
      </c>
      <c r="J91" s="42" t="s">
        <v>303</v>
      </c>
      <c r="K91" s="42" t="s">
        <v>103</v>
      </c>
      <c r="L91" s="44">
        <v>157.56</v>
      </c>
      <c r="M91" s="44">
        <v>16.55</v>
      </c>
      <c r="N91" s="44">
        <v>-141.01</v>
      </c>
      <c r="O91" s="42" t="s">
        <v>103</v>
      </c>
      <c r="P91" s="42">
        <v>1</v>
      </c>
      <c r="Q91" s="45">
        <f t="shared" si="2"/>
        <v>0.10503935008885504</v>
      </c>
      <c r="R91" s="46">
        <f t="shared" si="3"/>
        <v>30</v>
      </c>
    </row>
    <row r="92" spans="1:18" x14ac:dyDescent="0.2">
      <c r="A92" s="36" t="s">
        <v>434</v>
      </c>
      <c r="B92" s="36" t="s">
        <v>435</v>
      </c>
      <c r="C92" s="36" t="s">
        <v>436</v>
      </c>
      <c r="D92" s="40">
        <v>45892</v>
      </c>
      <c r="E92" s="36" t="s">
        <v>437</v>
      </c>
      <c r="F92" s="36" t="s">
        <v>31</v>
      </c>
      <c r="G92" s="36" t="s">
        <v>100</v>
      </c>
      <c r="H92" s="36" t="s">
        <v>34</v>
      </c>
      <c r="I92" s="36" t="s">
        <v>34</v>
      </c>
      <c r="J92" s="36" t="s">
        <v>188</v>
      </c>
      <c r="K92" s="36" t="s">
        <v>102</v>
      </c>
      <c r="L92" s="37">
        <v>419.98</v>
      </c>
      <c r="M92" s="37">
        <v>461.82</v>
      </c>
      <c r="N92" s="37">
        <v>41.84</v>
      </c>
      <c r="O92" s="36" t="s">
        <v>103</v>
      </c>
      <c r="P92" s="36">
        <v>2</v>
      </c>
      <c r="Q92" s="41">
        <f t="shared" si="2"/>
        <v>1.0996237916091243</v>
      </c>
      <c r="R92" s="38">
        <f t="shared" si="3"/>
        <v>0</v>
      </c>
    </row>
    <row r="93" spans="1:18" x14ac:dyDescent="0.2">
      <c r="A93" s="42" t="s">
        <v>438</v>
      </c>
      <c r="B93" s="42" t="s">
        <v>439</v>
      </c>
      <c r="C93" s="42" t="s">
        <v>440</v>
      </c>
      <c r="D93" s="43">
        <v>45921</v>
      </c>
      <c r="E93" s="42" t="s">
        <v>441</v>
      </c>
      <c r="F93" s="42" t="s">
        <v>25</v>
      </c>
      <c r="G93" s="42" t="s">
        <v>108</v>
      </c>
      <c r="H93" s="42" t="s">
        <v>26</v>
      </c>
      <c r="I93" s="42" t="s">
        <v>26</v>
      </c>
      <c r="J93" s="42" t="s">
        <v>303</v>
      </c>
      <c r="K93" s="42" t="s">
        <v>102</v>
      </c>
      <c r="L93" s="44">
        <v>362.09</v>
      </c>
      <c r="M93" s="44">
        <v>232.03</v>
      </c>
      <c r="N93" s="44">
        <v>-130.06</v>
      </c>
      <c r="O93" s="42" t="s">
        <v>103</v>
      </c>
      <c r="P93" s="42">
        <v>0</v>
      </c>
      <c r="Q93" s="45">
        <f t="shared" si="2"/>
        <v>0.64080753403849877</v>
      </c>
      <c r="R93" s="46">
        <f t="shared" si="3"/>
        <v>0</v>
      </c>
    </row>
    <row r="94" spans="1:18" x14ac:dyDescent="0.2">
      <c r="A94" s="36" t="s">
        <v>442</v>
      </c>
      <c r="B94" s="36" t="s">
        <v>443</v>
      </c>
      <c r="C94" s="36" t="s">
        <v>444</v>
      </c>
      <c r="D94" s="40">
        <v>45781</v>
      </c>
      <c r="E94" s="36" t="s">
        <v>445</v>
      </c>
      <c r="F94" s="36" t="s">
        <v>31</v>
      </c>
      <c r="G94" s="36" t="s">
        <v>120</v>
      </c>
      <c r="H94" s="36" t="s">
        <v>34</v>
      </c>
      <c r="I94" s="36" t="s">
        <v>34</v>
      </c>
      <c r="J94" s="36" t="s">
        <v>152</v>
      </c>
      <c r="K94" s="36" t="s">
        <v>102</v>
      </c>
      <c r="L94" s="37">
        <v>101.78</v>
      </c>
      <c r="M94" s="37">
        <v>149.62</v>
      </c>
      <c r="N94" s="37">
        <v>47.84</v>
      </c>
      <c r="O94" s="36" t="s">
        <v>103</v>
      </c>
      <c r="P94" s="36">
        <v>0</v>
      </c>
      <c r="Q94" s="41">
        <f t="shared" si="2"/>
        <v>1.4700334053841619</v>
      </c>
      <c r="R94" s="38">
        <f t="shared" si="3"/>
        <v>0</v>
      </c>
    </row>
    <row r="95" spans="1:18" x14ac:dyDescent="0.2">
      <c r="A95" s="42" t="s">
        <v>446</v>
      </c>
      <c r="B95" s="42" t="s">
        <v>447</v>
      </c>
      <c r="C95" s="42" t="s">
        <v>448</v>
      </c>
      <c r="D95" s="43">
        <v>45927</v>
      </c>
      <c r="E95" s="42" t="s">
        <v>449</v>
      </c>
      <c r="F95" s="42" t="s">
        <v>25</v>
      </c>
      <c r="G95" s="42" t="s">
        <v>114</v>
      </c>
      <c r="H95" s="42" t="s">
        <v>30</v>
      </c>
      <c r="I95" s="42" t="s">
        <v>30</v>
      </c>
      <c r="J95" s="42" t="s">
        <v>143</v>
      </c>
      <c r="K95" s="42" t="s">
        <v>102</v>
      </c>
      <c r="L95" s="44">
        <v>395.34</v>
      </c>
      <c r="M95" s="44">
        <v>441.5</v>
      </c>
      <c r="N95" s="44">
        <v>46.16</v>
      </c>
      <c r="O95" s="42" t="s">
        <v>103</v>
      </c>
      <c r="P95" s="42">
        <v>0</v>
      </c>
      <c r="Q95" s="45">
        <f t="shared" si="2"/>
        <v>1.1167602569939798</v>
      </c>
      <c r="R95" s="46">
        <f t="shared" si="3"/>
        <v>0</v>
      </c>
    </row>
    <row r="96" spans="1:18" x14ac:dyDescent="0.2">
      <c r="A96" s="36" t="s">
        <v>450</v>
      </c>
      <c r="B96" s="36" t="s">
        <v>451</v>
      </c>
      <c r="C96" s="36" t="s">
        <v>452</v>
      </c>
      <c r="D96" s="40">
        <v>45680</v>
      </c>
      <c r="E96" s="36" t="s">
        <v>453</v>
      </c>
      <c r="F96" s="36" t="s">
        <v>25</v>
      </c>
      <c r="G96" s="36" t="s">
        <v>120</v>
      </c>
      <c r="H96" s="36" t="s">
        <v>34</v>
      </c>
      <c r="I96" s="36" t="s">
        <v>34</v>
      </c>
      <c r="J96" s="36" t="s">
        <v>121</v>
      </c>
      <c r="K96" s="36" t="s">
        <v>102</v>
      </c>
      <c r="L96" s="37">
        <v>490.71</v>
      </c>
      <c r="M96" s="37">
        <v>273.83</v>
      </c>
      <c r="N96" s="37">
        <v>-216.88</v>
      </c>
      <c r="O96" s="36" t="s">
        <v>103</v>
      </c>
      <c r="P96" s="36">
        <v>1</v>
      </c>
      <c r="Q96" s="41">
        <f t="shared" si="2"/>
        <v>0.55802816327362392</v>
      </c>
      <c r="R96" s="38">
        <f t="shared" si="3"/>
        <v>0</v>
      </c>
    </row>
    <row r="97" spans="1:18" x14ac:dyDescent="0.2">
      <c r="A97" s="42" t="s">
        <v>454</v>
      </c>
      <c r="B97" s="42" t="s">
        <v>447</v>
      </c>
      <c r="C97" s="42" t="s">
        <v>448</v>
      </c>
      <c r="D97" s="43">
        <v>45834</v>
      </c>
      <c r="E97" s="42" t="s">
        <v>455</v>
      </c>
      <c r="F97" s="42" t="s">
        <v>31</v>
      </c>
      <c r="G97" s="42" t="s">
        <v>126</v>
      </c>
      <c r="H97" s="42" t="s">
        <v>30</v>
      </c>
      <c r="I97" s="42" t="s">
        <v>30</v>
      </c>
      <c r="J97" s="42" t="s">
        <v>143</v>
      </c>
      <c r="K97" s="42" t="s">
        <v>102</v>
      </c>
      <c r="L97" s="44">
        <v>331.98</v>
      </c>
      <c r="M97" s="44">
        <v>75.709999999999994</v>
      </c>
      <c r="N97" s="44">
        <v>-256.27</v>
      </c>
      <c r="O97" s="42" t="s">
        <v>103</v>
      </c>
      <c r="P97" s="42">
        <v>0</v>
      </c>
      <c r="Q97" s="45">
        <f t="shared" si="2"/>
        <v>0.22805590698234832</v>
      </c>
      <c r="R97" s="46">
        <f t="shared" si="3"/>
        <v>10</v>
      </c>
    </row>
    <row r="98" spans="1:18" x14ac:dyDescent="0.2">
      <c r="A98" s="36" t="s">
        <v>456</v>
      </c>
      <c r="B98" s="36" t="s">
        <v>457</v>
      </c>
      <c r="C98" s="36" t="s">
        <v>458</v>
      </c>
      <c r="D98" s="40">
        <v>45828</v>
      </c>
      <c r="E98" s="36" t="s">
        <v>459</v>
      </c>
      <c r="F98" s="36" t="s">
        <v>27</v>
      </c>
      <c r="G98" s="36" t="s">
        <v>131</v>
      </c>
      <c r="H98" s="36" t="s">
        <v>34</v>
      </c>
      <c r="I98" s="36" t="s">
        <v>34</v>
      </c>
      <c r="J98" s="36" t="s">
        <v>121</v>
      </c>
      <c r="K98" s="36" t="s">
        <v>103</v>
      </c>
      <c r="L98" s="37">
        <v>182.63</v>
      </c>
      <c r="M98" s="37">
        <v>136.02000000000001</v>
      </c>
      <c r="N98" s="37">
        <v>-46.61</v>
      </c>
      <c r="O98" s="36" t="s">
        <v>103</v>
      </c>
      <c r="P98" s="36">
        <v>0</v>
      </c>
      <c r="Q98" s="41">
        <f t="shared" si="2"/>
        <v>0.74478453704210712</v>
      </c>
      <c r="R98" s="38">
        <f t="shared" si="3"/>
        <v>20</v>
      </c>
    </row>
    <row r="99" spans="1:18" x14ac:dyDescent="0.2">
      <c r="A99" s="42" t="s">
        <v>460</v>
      </c>
      <c r="B99" s="42" t="s">
        <v>461</v>
      </c>
      <c r="C99" s="42" t="s">
        <v>462</v>
      </c>
      <c r="D99" s="43">
        <v>46008</v>
      </c>
      <c r="E99" s="42" t="s">
        <v>463</v>
      </c>
      <c r="F99" s="42" t="s">
        <v>33</v>
      </c>
      <c r="G99" s="42" t="s">
        <v>100</v>
      </c>
      <c r="H99" s="42" t="s">
        <v>34</v>
      </c>
      <c r="I99" s="42" t="s">
        <v>34</v>
      </c>
      <c r="J99" s="42" t="s">
        <v>121</v>
      </c>
      <c r="K99" s="42" t="s">
        <v>102</v>
      </c>
      <c r="L99" s="44">
        <v>244.48</v>
      </c>
      <c r="M99" s="44">
        <v>98.04</v>
      </c>
      <c r="N99" s="44">
        <v>-146.44</v>
      </c>
      <c r="O99" s="42" t="s">
        <v>103</v>
      </c>
      <c r="P99" s="42">
        <v>0</v>
      </c>
      <c r="Q99" s="45">
        <f t="shared" si="2"/>
        <v>0.40101439790575921</v>
      </c>
      <c r="R99" s="46">
        <f t="shared" si="3"/>
        <v>0</v>
      </c>
    </row>
    <row r="100" spans="1:18" x14ac:dyDescent="0.2">
      <c r="A100" s="36" t="s">
        <v>464</v>
      </c>
      <c r="B100" s="36" t="s">
        <v>465</v>
      </c>
      <c r="C100" s="36" t="s">
        <v>466</v>
      </c>
      <c r="D100" s="40">
        <v>46055</v>
      </c>
      <c r="E100" s="36" t="s">
        <v>142</v>
      </c>
      <c r="F100" s="36" t="s">
        <v>33</v>
      </c>
      <c r="G100" s="36" t="s">
        <v>100</v>
      </c>
      <c r="H100" s="36" t="s">
        <v>34</v>
      </c>
      <c r="I100" s="36" t="s">
        <v>34</v>
      </c>
      <c r="J100" s="36" t="s">
        <v>152</v>
      </c>
      <c r="K100" s="36" t="s">
        <v>103</v>
      </c>
      <c r="L100" s="37">
        <v>153.79</v>
      </c>
      <c r="M100" s="37">
        <v>14.82</v>
      </c>
      <c r="N100" s="37">
        <v>-138.97</v>
      </c>
      <c r="O100" s="36" t="s">
        <v>103</v>
      </c>
      <c r="P100" s="36">
        <v>0</v>
      </c>
      <c r="Q100" s="41">
        <f t="shared" si="2"/>
        <v>9.6365173288250214E-2</v>
      </c>
      <c r="R100" s="38">
        <f t="shared" si="3"/>
        <v>20</v>
      </c>
    </row>
    <row r="101" spans="1:18" x14ac:dyDescent="0.2">
      <c r="A101" s="42" t="s">
        <v>467</v>
      </c>
      <c r="B101" s="42" t="s">
        <v>468</v>
      </c>
      <c r="C101" s="42" t="s">
        <v>469</v>
      </c>
      <c r="D101" s="43">
        <v>45816</v>
      </c>
      <c r="E101" s="42" t="s">
        <v>470</v>
      </c>
      <c r="F101" s="42" t="s">
        <v>19</v>
      </c>
      <c r="G101" s="42" t="s">
        <v>100</v>
      </c>
      <c r="H101" s="42" t="s">
        <v>28</v>
      </c>
      <c r="I101" s="42" t="s">
        <v>28</v>
      </c>
      <c r="J101" s="42" t="s">
        <v>109</v>
      </c>
      <c r="K101" s="42" t="s">
        <v>103</v>
      </c>
      <c r="L101" s="44">
        <v>494.67</v>
      </c>
      <c r="M101" s="44">
        <v>590.97</v>
      </c>
      <c r="N101" s="44">
        <v>96.3</v>
      </c>
      <c r="O101" s="42" t="s">
        <v>103</v>
      </c>
      <c r="P101" s="42">
        <v>0</v>
      </c>
      <c r="Q101" s="45">
        <f t="shared" si="2"/>
        <v>1.1946752380374797</v>
      </c>
      <c r="R101" s="46">
        <f t="shared" si="3"/>
        <v>20</v>
      </c>
    </row>
    <row r="102" spans="1:18" x14ac:dyDescent="0.2">
      <c r="A102" s="36" t="s">
        <v>471</v>
      </c>
      <c r="B102" s="36" t="s">
        <v>67</v>
      </c>
      <c r="C102" s="36" t="s">
        <v>68</v>
      </c>
      <c r="D102" s="40">
        <v>45989</v>
      </c>
      <c r="E102" s="36" t="s">
        <v>472</v>
      </c>
      <c r="F102" s="36" t="s">
        <v>22</v>
      </c>
      <c r="G102" s="36" t="s">
        <v>126</v>
      </c>
      <c r="H102" s="36" t="s">
        <v>34</v>
      </c>
      <c r="I102" s="36" t="s">
        <v>34</v>
      </c>
      <c r="J102" s="36" t="s">
        <v>121</v>
      </c>
      <c r="K102" s="36" t="s">
        <v>103</v>
      </c>
      <c r="L102" s="37">
        <v>184.92</v>
      </c>
      <c r="M102" s="37">
        <v>317.67</v>
      </c>
      <c r="N102" s="37">
        <v>132.75</v>
      </c>
      <c r="O102" s="36" t="s">
        <v>103</v>
      </c>
      <c r="P102" s="36">
        <v>0</v>
      </c>
      <c r="Q102" s="41">
        <f t="shared" si="2"/>
        <v>1.7178780012978587</v>
      </c>
      <c r="R102" s="38">
        <f t="shared" si="3"/>
        <v>30</v>
      </c>
    </row>
    <row r="103" spans="1:18" x14ac:dyDescent="0.2">
      <c r="A103" s="42" t="s">
        <v>473</v>
      </c>
      <c r="B103" s="42" t="s">
        <v>258</v>
      </c>
      <c r="C103" s="42" t="s">
        <v>259</v>
      </c>
      <c r="D103" s="43">
        <v>45797</v>
      </c>
      <c r="E103" s="42" t="s">
        <v>354</v>
      </c>
      <c r="F103" s="42" t="s">
        <v>27</v>
      </c>
      <c r="G103" s="42" t="s">
        <v>114</v>
      </c>
      <c r="H103" s="42" t="s">
        <v>34</v>
      </c>
      <c r="I103" s="42" t="s">
        <v>34</v>
      </c>
      <c r="J103" s="42" t="s">
        <v>115</v>
      </c>
      <c r="K103" s="42" t="s">
        <v>102</v>
      </c>
      <c r="L103" s="44">
        <v>190.33</v>
      </c>
      <c r="M103" s="44">
        <v>372.45</v>
      </c>
      <c r="N103" s="44">
        <v>182.12</v>
      </c>
      <c r="O103" s="42" t="s">
        <v>103</v>
      </c>
      <c r="P103" s="42">
        <v>0</v>
      </c>
      <c r="Q103" s="45">
        <f t="shared" si="2"/>
        <v>1.9568643934219512</v>
      </c>
      <c r="R103" s="46">
        <f t="shared" si="3"/>
        <v>0</v>
      </c>
    </row>
    <row r="104" spans="1:18" x14ac:dyDescent="0.2">
      <c r="A104" s="36" t="s">
        <v>474</v>
      </c>
      <c r="B104" s="36" t="s">
        <v>46</v>
      </c>
      <c r="C104" s="36" t="s">
        <v>47</v>
      </c>
      <c r="D104" s="40">
        <v>45831</v>
      </c>
      <c r="E104" s="36" t="s">
        <v>475</v>
      </c>
      <c r="F104" s="36" t="s">
        <v>22</v>
      </c>
      <c r="G104" s="36" t="s">
        <v>100</v>
      </c>
      <c r="H104" s="36" t="s">
        <v>23</v>
      </c>
      <c r="I104" s="36" t="s">
        <v>20</v>
      </c>
      <c r="J104" s="36" t="s">
        <v>183</v>
      </c>
      <c r="K104" s="36" t="s">
        <v>102</v>
      </c>
      <c r="L104" s="37">
        <v>9096.09</v>
      </c>
      <c r="M104" s="37">
        <v>29126.09</v>
      </c>
      <c r="N104" s="37">
        <v>20030</v>
      </c>
      <c r="O104" s="36" t="s">
        <v>318</v>
      </c>
      <c r="P104" s="36">
        <v>1</v>
      </c>
      <c r="Q104" s="41">
        <f t="shared" si="2"/>
        <v>3.2020450545234271</v>
      </c>
      <c r="R104" s="38">
        <f t="shared" si="3"/>
        <v>70</v>
      </c>
    </row>
    <row r="105" spans="1:18" x14ac:dyDescent="0.2">
      <c r="A105" s="42" t="s">
        <v>476</v>
      </c>
      <c r="B105" s="42" t="s">
        <v>477</v>
      </c>
      <c r="C105" s="42" t="s">
        <v>478</v>
      </c>
      <c r="D105" s="43">
        <v>45875</v>
      </c>
      <c r="E105" s="42" t="s">
        <v>479</v>
      </c>
      <c r="F105" s="42" t="s">
        <v>31</v>
      </c>
      <c r="G105" s="42" t="s">
        <v>120</v>
      </c>
      <c r="H105" s="42" t="s">
        <v>23</v>
      </c>
      <c r="I105" s="42" t="s">
        <v>23</v>
      </c>
      <c r="J105" s="42" t="s">
        <v>101</v>
      </c>
      <c r="K105" s="42" t="s">
        <v>102</v>
      </c>
      <c r="L105" s="44">
        <v>305.2</v>
      </c>
      <c r="M105" s="44">
        <v>552.15</v>
      </c>
      <c r="N105" s="44">
        <v>246.95</v>
      </c>
      <c r="O105" s="42" t="s">
        <v>103</v>
      </c>
      <c r="P105" s="42">
        <v>1</v>
      </c>
      <c r="Q105" s="45">
        <f t="shared" si="2"/>
        <v>1.8091415465268676</v>
      </c>
      <c r="R105" s="46">
        <f t="shared" si="3"/>
        <v>0</v>
      </c>
    </row>
    <row r="106" spans="1:18" x14ac:dyDescent="0.2">
      <c r="A106" s="36" t="s">
        <v>480</v>
      </c>
      <c r="B106" s="36" t="s">
        <v>481</v>
      </c>
      <c r="C106" s="36" t="s">
        <v>482</v>
      </c>
      <c r="D106" s="40">
        <v>45710</v>
      </c>
      <c r="E106" s="36" t="s">
        <v>483</v>
      </c>
      <c r="F106" s="36" t="s">
        <v>31</v>
      </c>
      <c r="G106" s="36" t="s">
        <v>126</v>
      </c>
      <c r="H106" s="36" t="s">
        <v>34</v>
      </c>
      <c r="I106" s="36" t="s">
        <v>34</v>
      </c>
      <c r="J106" s="36" t="s">
        <v>152</v>
      </c>
      <c r="K106" s="36" t="s">
        <v>102</v>
      </c>
      <c r="L106" s="37">
        <v>333.85</v>
      </c>
      <c r="M106" s="37">
        <v>225.11</v>
      </c>
      <c r="N106" s="37">
        <v>-108.74</v>
      </c>
      <c r="O106" s="36" t="s">
        <v>103</v>
      </c>
      <c r="P106" s="36">
        <v>1</v>
      </c>
      <c r="Q106" s="41">
        <f t="shared" si="2"/>
        <v>0.67428485846937247</v>
      </c>
      <c r="R106" s="38">
        <f t="shared" si="3"/>
        <v>10</v>
      </c>
    </row>
    <row r="107" spans="1:18" x14ac:dyDescent="0.2">
      <c r="A107" s="42" t="s">
        <v>484</v>
      </c>
      <c r="B107" s="42" t="s">
        <v>485</v>
      </c>
      <c r="C107" s="42" t="s">
        <v>486</v>
      </c>
      <c r="D107" s="43">
        <v>45743</v>
      </c>
      <c r="E107" s="42" t="s">
        <v>487</v>
      </c>
      <c r="F107" s="42" t="s">
        <v>22</v>
      </c>
      <c r="G107" s="42" t="s">
        <v>120</v>
      </c>
      <c r="H107" s="42" t="s">
        <v>34</v>
      </c>
      <c r="I107" s="42" t="s">
        <v>34</v>
      </c>
      <c r="J107" s="42" t="s">
        <v>188</v>
      </c>
      <c r="K107" s="42" t="s">
        <v>102</v>
      </c>
      <c r="L107" s="44">
        <v>182.26</v>
      </c>
      <c r="M107" s="44">
        <v>16.98</v>
      </c>
      <c r="N107" s="44">
        <v>-165.28</v>
      </c>
      <c r="O107" s="42" t="s">
        <v>103</v>
      </c>
      <c r="P107" s="42">
        <v>0</v>
      </c>
      <c r="Q107" s="45">
        <f t="shared" si="2"/>
        <v>9.3163612421814992E-2</v>
      </c>
      <c r="R107" s="46">
        <f t="shared" si="3"/>
        <v>0</v>
      </c>
    </row>
    <row r="108" spans="1:18" x14ac:dyDescent="0.2">
      <c r="A108" s="36" t="s">
        <v>488</v>
      </c>
      <c r="B108" s="36" t="s">
        <v>268</v>
      </c>
      <c r="C108" s="36" t="s">
        <v>269</v>
      </c>
      <c r="D108" s="40">
        <v>45880</v>
      </c>
      <c r="E108" s="36" t="s">
        <v>489</v>
      </c>
      <c r="F108" s="36" t="s">
        <v>25</v>
      </c>
      <c r="G108" s="36" t="s">
        <v>126</v>
      </c>
      <c r="H108" s="36" t="s">
        <v>34</v>
      </c>
      <c r="I108" s="36" t="s">
        <v>34</v>
      </c>
      <c r="J108" s="36" t="s">
        <v>121</v>
      </c>
      <c r="K108" s="36" t="s">
        <v>102</v>
      </c>
      <c r="L108" s="37">
        <v>490.21</v>
      </c>
      <c r="M108" s="37">
        <v>1022.28</v>
      </c>
      <c r="N108" s="37">
        <v>532.07000000000005</v>
      </c>
      <c r="O108" s="36" t="s">
        <v>103</v>
      </c>
      <c r="P108" s="36">
        <v>0</v>
      </c>
      <c r="Q108" s="41">
        <f t="shared" si="2"/>
        <v>2.0853919748679139</v>
      </c>
      <c r="R108" s="38">
        <f t="shared" si="3"/>
        <v>20</v>
      </c>
    </row>
    <row r="109" spans="1:18" x14ac:dyDescent="0.2">
      <c r="A109" s="42" t="s">
        <v>490</v>
      </c>
      <c r="B109" s="42" t="s">
        <v>491</v>
      </c>
      <c r="C109" s="42" t="s">
        <v>492</v>
      </c>
      <c r="D109" s="43">
        <v>45865</v>
      </c>
      <c r="E109" s="42" t="s">
        <v>222</v>
      </c>
      <c r="F109" s="42" t="s">
        <v>25</v>
      </c>
      <c r="G109" s="42" t="s">
        <v>131</v>
      </c>
      <c r="H109" s="42" t="s">
        <v>34</v>
      </c>
      <c r="I109" s="42" t="s">
        <v>34</v>
      </c>
      <c r="J109" s="42" t="s">
        <v>121</v>
      </c>
      <c r="K109" s="42" t="s">
        <v>102</v>
      </c>
      <c r="L109" s="44">
        <v>402.54</v>
      </c>
      <c r="M109" s="44">
        <v>601.67999999999995</v>
      </c>
      <c r="N109" s="44">
        <v>199.14</v>
      </c>
      <c r="O109" s="42" t="s">
        <v>103</v>
      </c>
      <c r="P109" s="42">
        <v>1</v>
      </c>
      <c r="Q109" s="45">
        <f t="shared" si="2"/>
        <v>1.4947086003875389</v>
      </c>
      <c r="R109" s="46">
        <f t="shared" si="3"/>
        <v>0</v>
      </c>
    </row>
    <row r="110" spans="1:18" x14ac:dyDescent="0.2">
      <c r="A110" s="36" t="s">
        <v>493</v>
      </c>
      <c r="B110" s="36" t="s">
        <v>134</v>
      </c>
      <c r="C110" s="36" t="s">
        <v>135</v>
      </c>
      <c r="D110" s="40">
        <v>46005</v>
      </c>
      <c r="E110" s="36" t="s">
        <v>142</v>
      </c>
      <c r="F110" s="36" t="s">
        <v>27</v>
      </c>
      <c r="G110" s="36" t="s">
        <v>120</v>
      </c>
      <c r="H110" s="36" t="s">
        <v>34</v>
      </c>
      <c r="I110" s="36" t="s">
        <v>34</v>
      </c>
      <c r="J110" s="36" t="s">
        <v>121</v>
      </c>
      <c r="K110" s="36" t="s">
        <v>102</v>
      </c>
      <c r="L110" s="37">
        <v>71.849999999999994</v>
      </c>
      <c r="M110" s="37">
        <v>37.299999999999997</v>
      </c>
      <c r="N110" s="37">
        <v>-34.549999999999997</v>
      </c>
      <c r="O110" s="36" t="s">
        <v>103</v>
      </c>
      <c r="P110" s="36">
        <v>0</v>
      </c>
      <c r="Q110" s="41">
        <f t="shared" si="2"/>
        <v>0.51913709116214335</v>
      </c>
      <c r="R110" s="38">
        <f t="shared" si="3"/>
        <v>0</v>
      </c>
    </row>
    <row r="111" spans="1:18" x14ac:dyDescent="0.2">
      <c r="A111" s="42" t="s">
        <v>494</v>
      </c>
      <c r="B111" s="42" t="s">
        <v>495</v>
      </c>
      <c r="C111" s="42" t="s">
        <v>496</v>
      </c>
      <c r="D111" s="43">
        <v>45854</v>
      </c>
      <c r="E111" s="42" t="s">
        <v>497</v>
      </c>
      <c r="F111" s="42" t="s">
        <v>19</v>
      </c>
      <c r="G111" s="42" t="s">
        <v>120</v>
      </c>
      <c r="H111" s="42" t="s">
        <v>32</v>
      </c>
      <c r="I111" s="42" t="s">
        <v>32</v>
      </c>
      <c r="J111" s="42" t="s">
        <v>132</v>
      </c>
      <c r="K111" s="42" t="s">
        <v>102</v>
      </c>
      <c r="L111" s="44">
        <v>306.5</v>
      </c>
      <c r="M111" s="44">
        <v>457.89</v>
      </c>
      <c r="N111" s="44">
        <v>151.38999999999999</v>
      </c>
      <c r="O111" s="42" t="s">
        <v>103</v>
      </c>
      <c r="P111" s="42">
        <v>3</v>
      </c>
      <c r="Q111" s="45">
        <f t="shared" si="2"/>
        <v>1.4939314845024469</v>
      </c>
      <c r="R111" s="46">
        <f t="shared" si="3"/>
        <v>0</v>
      </c>
    </row>
    <row r="112" spans="1:18" x14ac:dyDescent="0.2">
      <c r="A112" s="36" t="s">
        <v>498</v>
      </c>
      <c r="B112" s="36" t="s">
        <v>499</v>
      </c>
      <c r="C112" s="36" t="s">
        <v>500</v>
      </c>
      <c r="D112" s="40">
        <v>46048</v>
      </c>
      <c r="E112" s="36" t="s">
        <v>501</v>
      </c>
      <c r="F112" s="36" t="s">
        <v>19</v>
      </c>
      <c r="G112" s="36" t="s">
        <v>126</v>
      </c>
      <c r="H112" s="36" t="s">
        <v>34</v>
      </c>
      <c r="I112" s="36" t="s">
        <v>34</v>
      </c>
      <c r="J112" s="36" t="s">
        <v>121</v>
      </c>
      <c r="K112" s="36" t="s">
        <v>103</v>
      </c>
      <c r="L112" s="37">
        <v>77.47</v>
      </c>
      <c r="M112" s="37">
        <v>62.54</v>
      </c>
      <c r="N112" s="37">
        <v>-14.93</v>
      </c>
      <c r="O112" s="36" t="s">
        <v>103</v>
      </c>
      <c r="P112" s="36">
        <v>0</v>
      </c>
      <c r="Q112" s="41">
        <f t="shared" si="2"/>
        <v>0.80728023751129474</v>
      </c>
      <c r="R112" s="38">
        <f t="shared" si="3"/>
        <v>30</v>
      </c>
    </row>
    <row r="113" spans="1:18" x14ac:dyDescent="0.2">
      <c r="A113" s="42" t="s">
        <v>502</v>
      </c>
      <c r="B113" s="42" t="s">
        <v>503</v>
      </c>
      <c r="C113" s="42" t="s">
        <v>504</v>
      </c>
      <c r="D113" s="43">
        <v>45785</v>
      </c>
      <c r="E113" s="42" t="s">
        <v>505</v>
      </c>
      <c r="F113" s="42" t="s">
        <v>29</v>
      </c>
      <c r="G113" s="42" t="s">
        <v>108</v>
      </c>
      <c r="H113" s="42" t="s">
        <v>34</v>
      </c>
      <c r="I113" s="42" t="s">
        <v>34</v>
      </c>
      <c r="J113" s="42" t="s">
        <v>121</v>
      </c>
      <c r="K113" s="42" t="s">
        <v>103</v>
      </c>
      <c r="L113" s="44">
        <v>370.48</v>
      </c>
      <c r="M113" s="44">
        <v>406.75</v>
      </c>
      <c r="N113" s="44">
        <v>36.270000000000003</v>
      </c>
      <c r="O113" s="42" t="s">
        <v>103</v>
      </c>
      <c r="P113" s="42">
        <v>0</v>
      </c>
      <c r="Q113" s="45">
        <f t="shared" si="2"/>
        <v>1.0979000215936083</v>
      </c>
      <c r="R113" s="46">
        <f t="shared" si="3"/>
        <v>20</v>
      </c>
    </row>
    <row r="114" spans="1:18" x14ac:dyDescent="0.2">
      <c r="A114" s="36" t="s">
        <v>506</v>
      </c>
      <c r="B114" s="36" t="s">
        <v>507</v>
      </c>
      <c r="C114" s="36" t="s">
        <v>508</v>
      </c>
      <c r="D114" s="40">
        <v>45792</v>
      </c>
      <c r="E114" s="36" t="s">
        <v>509</v>
      </c>
      <c r="F114" s="36" t="s">
        <v>19</v>
      </c>
      <c r="G114" s="36" t="s">
        <v>126</v>
      </c>
      <c r="H114" s="36" t="s">
        <v>34</v>
      </c>
      <c r="I114" s="36" t="s">
        <v>34</v>
      </c>
      <c r="J114" s="36" t="s">
        <v>152</v>
      </c>
      <c r="K114" s="36" t="s">
        <v>102</v>
      </c>
      <c r="L114" s="37">
        <v>228.67</v>
      </c>
      <c r="M114" s="37">
        <v>501.25</v>
      </c>
      <c r="N114" s="37">
        <v>272.58</v>
      </c>
      <c r="O114" s="36" t="s">
        <v>103</v>
      </c>
      <c r="P114" s="36">
        <v>2</v>
      </c>
      <c r="Q114" s="41">
        <f t="shared" si="2"/>
        <v>2.192023439891547</v>
      </c>
      <c r="R114" s="38">
        <f t="shared" si="3"/>
        <v>20</v>
      </c>
    </row>
    <row r="115" spans="1:18" x14ac:dyDescent="0.2">
      <c r="A115" s="42" t="s">
        <v>510</v>
      </c>
      <c r="B115" s="42" t="s">
        <v>511</v>
      </c>
      <c r="C115" s="42" t="s">
        <v>512</v>
      </c>
      <c r="D115" s="43">
        <v>45760</v>
      </c>
      <c r="E115" s="42" t="s">
        <v>513</v>
      </c>
      <c r="F115" s="42" t="s">
        <v>27</v>
      </c>
      <c r="G115" s="42" t="s">
        <v>114</v>
      </c>
      <c r="H115" s="42" t="s">
        <v>34</v>
      </c>
      <c r="I115" s="42" t="s">
        <v>34</v>
      </c>
      <c r="J115" s="42" t="s">
        <v>152</v>
      </c>
      <c r="K115" s="42" t="s">
        <v>102</v>
      </c>
      <c r="L115" s="44">
        <v>427.88</v>
      </c>
      <c r="M115" s="44">
        <v>425.52</v>
      </c>
      <c r="N115" s="44">
        <v>-2.36</v>
      </c>
      <c r="O115" s="42" t="s">
        <v>103</v>
      </c>
      <c r="P115" s="42">
        <v>1</v>
      </c>
      <c r="Q115" s="45">
        <f t="shared" si="2"/>
        <v>0.99448443488828642</v>
      </c>
      <c r="R115" s="46">
        <f t="shared" si="3"/>
        <v>0</v>
      </c>
    </row>
    <row r="116" spans="1:18" x14ac:dyDescent="0.2">
      <c r="A116" s="36" t="s">
        <v>514</v>
      </c>
      <c r="B116" s="36" t="s">
        <v>50</v>
      </c>
      <c r="C116" s="36" t="s">
        <v>51</v>
      </c>
      <c r="D116" s="40">
        <v>46072</v>
      </c>
      <c r="E116" s="36" t="s">
        <v>515</v>
      </c>
      <c r="F116" s="36" t="s">
        <v>19</v>
      </c>
      <c r="G116" s="36" t="s">
        <v>120</v>
      </c>
      <c r="H116" s="36" t="s">
        <v>34</v>
      </c>
      <c r="I116" s="36" t="s">
        <v>28</v>
      </c>
      <c r="J116" s="36" t="s">
        <v>183</v>
      </c>
      <c r="K116" s="36" t="s">
        <v>102</v>
      </c>
      <c r="L116" s="37">
        <v>7098.73</v>
      </c>
      <c r="M116" s="37">
        <v>23319.27</v>
      </c>
      <c r="N116" s="37">
        <v>16220.54</v>
      </c>
      <c r="O116" s="36" t="s">
        <v>318</v>
      </c>
      <c r="P116" s="36">
        <v>1</v>
      </c>
      <c r="Q116" s="41">
        <f t="shared" si="2"/>
        <v>3.2849918224809227</v>
      </c>
      <c r="R116" s="38">
        <f t="shared" si="3"/>
        <v>70</v>
      </c>
    </row>
    <row r="117" spans="1:18" x14ac:dyDescent="0.2">
      <c r="A117" s="42" t="s">
        <v>516</v>
      </c>
      <c r="B117" s="42" t="s">
        <v>517</v>
      </c>
      <c r="C117" s="42" t="s">
        <v>518</v>
      </c>
      <c r="D117" s="43">
        <v>46022</v>
      </c>
      <c r="E117" s="42" t="s">
        <v>519</v>
      </c>
      <c r="F117" s="42" t="s">
        <v>19</v>
      </c>
      <c r="G117" s="42" t="s">
        <v>108</v>
      </c>
      <c r="H117" s="42" t="s">
        <v>34</v>
      </c>
      <c r="I117" s="42" t="s">
        <v>34</v>
      </c>
      <c r="J117" s="42" t="s">
        <v>121</v>
      </c>
      <c r="K117" s="42" t="s">
        <v>102</v>
      </c>
      <c r="L117" s="44">
        <v>353.11</v>
      </c>
      <c r="M117" s="44">
        <v>135.24</v>
      </c>
      <c r="N117" s="44">
        <v>-217.87</v>
      </c>
      <c r="O117" s="42" t="s">
        <v>103</v>
      </c>
      <c r="P117" s="42">
        <v>0</v>
      </c>
      <c r="Q117" s="45">
        <f t="shared" si="2"/>
        <v>0.38299679986406504</v>
      </c>
      <c r="R117" s="46">
        <f t="shared" si="3"/>
        <v>0</v>
      </c>
    </row>
    <row r="118" spans="1:18" x14ac:dyDescent="0.2">
      <c r="A118" s="36" t="s">
        <v>520</v>
      </c>
      <c r="B118" s="36" t="s">
        <v>521</v>
      </c>
      <c r="C118" s="36" t="s">
        <v>522</v>
      </c>
      <c r="D118" s="40">
        <v>45720</v>
      </c>
      <c r="E118" s="36" t="s">
        <v>523</v>
      </c>
      <c r="F118" s="36" t="s">
        <v>25</v>
      </c>
      <c r="G118" s="36" t="s">
        <v>120</v>
      </c>
      <c r="H118" s="36" t="s">
        <v>34</v>
      </c>
      <c r="I118" s="36" t="s">
        <v>34</v>
      </c>
      <c r="J118" s="36" t="s">
        <v>152</v>
      </c>
      <c r="K118" s="36" t="s">
        <v>103</v>
      </c>
      <c r="L118" s="37">
        <v>78.05</v>
      </c>
      <c r="M118" s="37">
        <v>135.71</v>
      </c>
      <c r="N118" s="37">
        <v>57.66</v>
      </c>
      <c r="O118" s="36" t="s">
        <v>103</v>
      </c>
      <c r="P118" s="36">
        <v>2</v>
      </c>
      <c r="Q118" s="41">
        <f t="shared" si="2"/>
        <v>1.7387572069186421</v>
      </c>
      <c r="R118" s="38">
        <f t="shared" si="3"/>
        <v>20</v>
      </c>
    </row>
    <row r="119" spans="1:18" x14ac:dyDescent="0.2">
      <c r="A119" s="42" t="s">
        <v>524</v>
      </c>
      <c r="B119" s="42" t="s">
        <v>525</v>
      </c>
      <c r="C119" s="42" t="s">
        <v>526</v>
      </c>
      <c r="D119" s="43">
        <v>45951</v>
      </c>
      <c r="E119" s="42" t="s">
        <v>527</v>
      </c>
      <c r="F119" s="42" t="s">
        <v>31</v>
      </c>
      <c r="G119" s="42" t="s">
        <v>100</v>
      </c>
      <c r="H119" s="42" t="s">
        <v>34</v>
      </c>
      <c r="I119" s="42" t="s">
        <v>34</v>
      </c>
      <c r="J119" s="42" t="s">
        <v>121</v>
      </c>
      <c r="K119" s="42" t="s">
        <v>102</v>
      </c>
      <c r="L119" s="44">
        <v>403.79</v>
      </c>
      <c r="M119" s="44">
        <v>490.05</v>
      </c>
      <c r="N119" s="44">
        <v>86.26</v>
      </c>
      <c r="O119" s="42" t="s">
        <v>103</v>
      </c>
      <c r="P119" s="42">
        <v>0</v>
      </c>
      <c r="Q119" s="45">
        <f t="shared" si="2"/>
        <v>1.2136258946482081</v>
      </c>
      <c r="R119" s="46">
        <f t="shared" si="3"/>
        <v>0</v>
      </c>
    </row>
    <row r="120" spans="1:18" x14ac:dyDescent="0.2">
      <c r="A120" s="36" t="s">
        <v>528</v>
      </c>
      <c r="B120" s="36" t="s">
        <v>529</v>
      </c>
      <c r="C120" s="36" t="s">
        <v>530</v>
      </c>
      <c r="D120" s="40">
        <v>45816</v>
      </c>
      <c r="E120" s="36" t="s">
        <v>531</v>
      </c>
      <c r="F120" s="36" t="s">
        <v>22</v>
      </c>
      <c r="G120" s="36" t="s">
        <v>114</v>
      </c>
      <c r="H120" s="36" t="s">
        <v>30</v>
      </c>
      <c r="I120" s="36" t="s">
        <v>30</v>
      </c>
      <c r="J120" s="36" t="s">
        <v>143</v>
      </c>
      <c r="K120" s="36" t="s">
        <v>102</v>
      </c>
      <c r="L120" s="37">
        <v>362.25</v>
      </c>
      <c r="M120" s="37">
        <v>418.95</v>
      </c>
      <c r="N120" s="37">
        <v>56.7</v>
      </c>
      <c r="O120" s="36" t="s">
        <v>103</v>
      </c>
      <c r="P120" s="36">
        <v>0</v>
      </c>
      <c r="Q120" s="41">
        <f t="shared" si="2"/>
        <v>1.1565217391304348</v>
      </c>
      <c r="R120" s="38">
        <f t="shared" si="3"/>
        <v>0</v>
      </c>
    </row>
    <row r="121" spans="1:18" x14ac:dyDescent="0.2">
      <c r="A121" s="42" t="s">
        <v>532</v>
      </c>
      <c r="B121" s="42" t="s">
        <v>311</v>
      </c>
      <c r="C121" s="42" t="s">
        <v>312</v>
      </c>
      <c r="D121" s="43">
        <v>45695</v>
      </c>
      <c r="E121" s="42" t="s">
        <v>533</v>
      </c>
      <c r="F121" s="42" t="s">
        <v>27</v>
      </c>
      <c r="G121" s="42" t="s">
        <v>108</v>
      </c>
      <c r="H121" s="42" t="s">
        <v>30</v>
      </c>
      <c r="I121" s="42" t="s">
        <v>30</v>
      </c>
      <c r="J121" s="42" t="s">
        <v>143</v>
      </c>
      <c r="K121" s="42" t="s">
        <v>102</v>
      </c>
      <c r="L121" s="44">
        <v>324.75</v>
      </c>
      <c r="M121" s="44">
        <v>321.48</v>
      </c>
      <c r="N121" s="44">
        <v>-3.27</v>
      </c>
      <c r="O121" s="42" t="s">
        <v>103</v>
      </c>
      <c r="P121" s="42">
        <v>0</v>
      </c>
      <c r="Q121" s="45">
        <f t="shared" si="2"/>
        <v>0.98993071593533488</v>
      </c>
      <c r="R121" s="46">
        <f t="shared" si="3"/>
        <v>0</v>
      </c>
    </row>
    <row r="122" spans="1:18" x14ac:dyDescent="0.2">
      <c r="A122" s="36" t="s">
        <v>534</v>
      </c>
      <c r="B122" s="36" t="s">
        <v>535</v>
      </c>
      <c r="C122" s="36" t="s">
        <v>536</v>
      </c>
      <c r="D122" s="40">
        <v>45723</v>
      </c>
      <c r="E122" s="36" t="s">
        <v>537</v>
      </c>
      <c r="F122" s="36" t="s">
        <v>33</v>
      </c>
      <c r="G122" s="36" t="s">
        <v>114</v>
      </c>
      <c r="H122" s="36" t="s">
        <v>28</v>
      </c>
      <c r="I122" s="36" t="s">
        <v>28</v>
      </c>
      <c r="J122" s="36" t="s">
        <v>109</v>
      </c>
      <c r="K122" s="36" t="s">
        <v>102</v>
      </c>
      <c r="L122" s="37">
        <v>298.02</v>
      </c>
      <c r="M122" s="37">
        <v>503.39</v>
      </c>
      <c r="N122" s="37">
        <v>205.37</v>
      </c>
      <c r="O122" s="36" t="s">
        <v>103</v>
      </c>
      <c r="P122" s="36">
        <v>0</v>
      </c>
      <c r="Q122" s="41">
        <f t="shared" si="2"/>
        <v>1.6891148245084222</v>
      </c>
      <c r="R122" s="38">
        <f t="shared" si="3"/>
        <v>0</v>
      </c>
    </row>
    <row r="123" spans="1:18" x14ac:dyDescent="0.2">
      <c r="A123" s="42" t="s">
        <v>538</v>
      </c>
      <c r="B123" s="42" t="s">
        <v>149</v>
      </c>
      <c r="C123" s="42" t="s">
        <v>150</v>
      </c>
      <c r="D123" s="43">
        <v>45686</v>
      </c>
      <c r="E123" s="42" t="s">
        <v>539</v>
      </c>
      <c r="F123" s="42" t="s">
        <v>19</v>
      </c>
      <c r="G123" s="42" t="s">
        <v>126</v>
      </c>
      <c r="H123" s="42" t="s">
        <v>34</v>
      </c>
      <c r="I123" s="42" t="s">
        <v>34</v>
      </c>
      <c r="J123" s="42" t="s">
        <v>152</v>
      </c>
      <c r="K123" s="42" t="s">
        <v>103</v>
      </c>
      <c r="L123" s="44">
        <v>84.98</v>
      </c>
      <c r="M123" s="44">
        <v>30.78</v>
      </c>
      <c r="N123" s="44">
        <v>-54.2</v>
      </c>
      <c r="O123" s="42" t="s">
        <v>103</v>
      </c>
      <c r="P123" s="42">
        <v>0</v>
      </c>
      <c r="Q123" s="45">
        <f t="shared" si="2"/>
        <v>0.36220287126382678</v>
      </c>
      <c r="R123" s="46">
        <f t="shared" si="3"/>
        <v>30</v>
      </c>
    </row>
    <row r="124" spans="1:18" x14ac:dyDescent="0.2">
      <c r="A124" s="36" t="s">
        <v>540</v>
      </c>
      <c r="B124" s="36" t="s">
        <v>521</v>
      </c>
      <c r="C124" s="36" t="s">
        <v>522</v>
      </c>
      <c r="D124" s="40">
        <v>45835</v>
      </c>
      <c r="E124" s="36" t="s">
        <v>541</v>
      </c>
      <c r="F124" s="36" t="s">
        <v>33</v>
      </c>
      <c r="G124" s="36" t="s">
        <v>126</v>
      </c>
      <c r="H124" s="36" t="s">
        <v>34</v>
      </c>
      <c r="I124" s="36" t="s">
        <v>34</v>
      </c>
      <c r="J124" s="36" t="s">
        <v>152</v>
      </c>
      <c r="K124" s="36" t="s">
        <v>103</v>
      </c>
      <c r="L124" s="37">
        <v>149.18</v>
      </c>
      <c r="M124" s="37">
        <v>25.88</v>
      </c>
      <c r="N124" s="37">
        <v>-123.3</v>
      </c>
      <c r="O124" s="36" t="s">
        <v>103</v>
      </c>
      <c r="P124" s="36">
        <v>2</v>
      </c>
      <c r="Q124" s="41">
        <f t="shared" si="2"/>
        <v>0.17348169995978011</v>
      </c>
      <c r="R124" s="38">
        <f t="shared" si="3"/>
        <v>30</v>
      </c>
    </row>
    <row r="125" spans="1:18" x14ac:dyDescent="0.2">
      <c r="A125" s="42" t="s">
        <v>542</v>
      </c>
      <c r="B125" s="42" t="s">
        <v>525</v>
      </c>
      <c r="C125" s="42" t="s">
        <v>526</v>
      </c>
      <c r="D125" s="43">
        <v>45798</v>
      </c>
      <c r="E125" s="42" t="s">
        <v>543</v>
      </c>
      <c r="F125" s="42" t="s">
        <v>31</v>
      </c>
      <c r="G125" s="42" t="s">
        <v>126</v>
      </c>
      <c r="H125" s="42" t="s">
        <v>34</v>
      </c>
      <c r="I125" s="42" t="s">
        <v>34</v>
      </c>
      <c r="J125" s="42" t="s">
        <v>121</v>
      </c>
      <c r="K125" s="42" t="s">
        <v>102</v>
      </c>
      <c r="L125" s="44">
        <v>158.38</v>
      </c>
      <c r="M125" s="44">
        <v>185.88</v>
      </c>
      <c r="N125" s="44">
        <v>27.5</v>
      </c>
      <c r="O125" s="42" t="s">
        <v>103</v>
      </c>
      <c r="P125" s="42">
        <v>0</v>
      </c>
      <c r="Q125" s="45">
        <f t="shared" si="2"/>
        <v>1.1736330344740498</v>
      </c>
      <c r="R125" s="46">
        <f t="shared" si="3"/>
        <v>10</v>
      </c>
    </row>
    <row r="126" spans="1:18" x14ac:dyDescent="0.2">
      <c r="A126" s="36" t="s">
        <v>544</v>
      </c>
      <c r="B126" s="36" t="s">
        <v>48</v>
      </c>
      <c r="C126" s="36" t="s">
        <v>49</v>
      </c>
      <c r="D126" s="40">
        <v>45961</v>
      </c>
      <c r="E126" s="36" t="s">
        <v>545</v>
      </c>
      <c r="F126" s="36" t="s">
        <v>22</v>
      </c>
      <c r="G126" s="36" t="s">
        <v>100</v>
      </c>
      <c r="H126" s="36" t="s">
        <v>34</v>
      </c>
      <c r="I126" s="36" t="s">
        <v>23</v>
      </c>
      <c r="J126" s="36" t="s">
        <v>183</v>
      </c>
      <c r="K126" s="36" t="s">
        <v>102</v>
      </c>
      <c r="L126" s="37">
        <v>8335.5300000000007</v>
      </c>
      <c r="M126" s="37">
        <v>27688.7</v>
      </c>
      <c r="N126" s="37">
        <v>19353.169999999998</v>
      </c>
      <c r="O126" s="36" t="s">
        <v>318</v>
      </c>
      <c r="P126" s="36">
        <v>0</v>
      </c>
      <c r="Q126" s="41">
        <f t="shared" si="2"/>
        <v>3.3217683818545432</v>
      </c>
      <c r="R126" s="38">
        <f t="shared" si="3"/>
        <v>70</v>
      </c>
    </row>
    <row r="127" spans="1:18" x14ac:dyDescent="0.2">
      <c r="A127" s="42" t="s">
        <v>546</v>
      </c>
      <c r="B127" s="42" t="s">
        <v>232</v>
      </c>
      <c r="C127" s="42" t="s">
        <v>233</v>
      </c>
      <c r="D127" s="43">
        <v>45681</v>
      </c>
      <c r="E127" s="42" t="s">
        <v>547</v>
      </c>
      <c r="F127" s="42" t="s">
        <v>22</v>
      </c>
      <c r="G127" s="42" t="s">
        <v>108</v>
      </c>
      <c r="H127" s="42" t="s">
        <v>34</v>
      </c>
      <c r="I127" s="42" t="s">
        <v>34</v>
      </c>
      <c r="J127" s="42" t="s">
        <v>115</v>
      </c>
      <c r="K127" s="42" t="s">
        <v>103</v>
      </c>
      <c r="L127" s="44">
        <v>292.62</v>
      </c>
      <c r="M127" s="44">
        <v>419.17</v>
      </c>
      <c r="N127" s="44">
        <v>126.55</v>
      </c>
      <c r="O127" s="42" t="s">
        <v>103</v>
      </c>
      <c r="P127" s="42">
        <v>0</v>
      </c>
      <c r="Q127" s="45">
        <f t="shared" si="2"/>
        <v>1.432472148178525</v>
      </c>
      <c r="R127" s="46">
        <f t="shared" si="3"/>
        <v>20</v>
      </c>
    </row>
    <row r="128" spans="1:18" x14ac:dyDescent="0.2">
      <c r="A128" s="36" t="s">
        <v>548</v>
      </c>
      <c r="B128" s="36" t="s">
        <v>549</v>
      </c>
      <c r="C128" s="36" t="s">
        <v>550</v>
      </c>
      <c r="D128" s="40">
        <v>45974</v>
      </c>
      <c r="E128" s="36" t="s">
        <v>551</v>
      </c>
      <c r="F128" s="36" t="s">
        <v>19</v>
      </c>
      <c r="G128" s="36" t="s">
        <v>126</v>
      </c>
      <c r="H128" s="36" t="s">
        <v>34</v>
      </c>
      <c r="I128" s="36" t="s">
        <v>34</v>
      </c>
      <c r="J128" s="36" t="s">
        <v>121</v>
      </c>
      <c r="K128" s="36" t="s">
        <v>102</v>
      </c>
      <c r="L128" s="37">
        <v>254.04</v>
      </c>
      <c r="M128" s="37">
        <v>350.51</v>
      </c>
      <c r="N128" s="37">
        <v>96.47</v>
      </c>
      <c r="O128" s="36" t="s">
        <v>103</v>
      </c>
      <c r="P128" s="36">
        <v>0</v>
      </c>
      <c r="Q128" s="41">
        <f t="shared" si="2"/>
        <v>1.3797433475043301</v>
      </c>
      <c r="R128" s="38">
        <f t="shared" si="3"/>
        <v>10</v>
      </c>
    </row>
    <row r="129" spans="1:18" x14ac:dyDescent="0.2">
      <c r="A129" s="42" t="s">
        <v>552</v>
      </c>
      <c r="B129" s="42" t="s">
        <v>172</v>
      </c>
      <c r="C129" s="42" t="s">
        <v>173</v>
      </c>
      <c r="D129" s="43">
        <v>45905</v>
      </c>
      <c r="E129" s="42" t="s">
        <v>553</v>
      </c>
      <c r="F129" s="42" t="s">
        <v>29</v>
      </c>
      <c r="G129" s="42" t="s">
        <v>100</v>
      </c>
      <c r="H129" s="42" t="s">
        <v>30</v>
      </c>
      <c r="I129" s="42" t="s">
        <v>30</v>
      </c>
      <c r="J129" s="42" t="s">
        <v>143</v>
      </c>
      <c r="K129" s="42" t="s">
        <v>102</v>
      </c>
      <c r="L129" s="44">
        <v>405.6</v>
      </c>
      <c r="M129" s="44">
        <v>362.36</v>
      </c>
      <c r="N129" s="44">
        <v>-43.24</v>
      </c>
      <c r="O129" s="42" t="s">
        <v>103</v>
      </c>
      <c r="P129" s="42">
        <v>0</v>
      </c>
      <c r="Q129" s="45">
        <f t="shared" si="2"/>
        <v>0.89339250493096645</v>
      </c>
      <c r="R129" s="46">
        <f t="shared" si="3"/>
        <v>0</v>
      </c>
    </row>
    <row r="130" spans="1:18" x14ac:dyDescent="0.2">
      <c r="A130" s="36" t="s">
        <v>554</v>
      </c>
      <c r="B130" s="36" t="s">
        <v>555</v>
      </c>
      <c r="C130" s="36" t="s">
        <v>556</v>
      </c>
      <c r="D130" s="40">
        <v>45688</v>
      </c>
      <c r="E130" s="36" t="s">
        <v>557</v>
      </c>
      <c r="F130" s="36" t="s">
        <v>19</v>
      </c>
      <c r="G130" s="36" t="s">
        <v>108</v>
      </c>
      <c r="H130" s="36" t="s">
        <v>34</v>
      </c>
      <c r="I130" s="36" t="s">
        <v>34</v>
      </c>
      <c r="J130" s="36" t="s">
        <v>121</v>
      </c>
      <c r="K130" s="36" t="s">
        <v>102</v>
      </c>
      <c r="L130" s="37">
        <v>213.65</v>
      </c>
      <c r="M130" s="37">
        <v>218.3</v>
      </c>
      <c r="N130" s="37">
        <v>4.6500000000000004</v>
      </c>
      <c r="O130" s="36" t="s">
        <v>103</v>
      </c>
      <c r="P130" s="36">
        <v>1</v>
      </c>
      <c r="Q130" s="41">
        <f t="shared" ref="Q130:Q193" si="4">IF(L130=0,0,M130/L130)</f>
        <v>1.0217645682190499</v>
      </c>
      <c r="R130" s="38">
        <f t="shared" ref="R130:R193" si="5">IF(O130="YES",30,0)+IF(Q130&gt;3,25,IF(Q130&gt;2,10,0))+IF(K130="No",20,0)+IF(L130&gt;1000,15,IF(L130&gt;500,7,0))+IF(G130="Unknown-Device",10,0)</f>
        <v>0</v>
      </c>
    </row>
    <row r="131" spans="1:18" x14ac:dyDescent="0.2">
      <c r="A131" s="42" t="s">
        <v>558</v>
      </c>
      <c r="B131" s="42" t="s">
        <v>559</v>
      </c>
      <c r="C131" s="42" t="s">
        <v>560</v>
      </c>
      <c r="D131" s="43">
        <v>45818</v>
      </c>
      <c r="E131" s="42" t="s">
        <v>561</v>
      </c>
      <c r="F131" s="42" t="s">
        <v>29</v>
      </c>
      <c r="G131" s="42" t="s">
        <v>131</v>
      </c>
      <c r="H131" s="42" t="s">
        <v>34</v>
      </c>
      <c r="I131" s="42" t="s">
        <v>34</v>
      </c>
      <c r="J131" s="42" t="s">
        <v>152</v>
      </c>
      <c r="K131" s="42" t="s">
        <v>102</v>
      </c>
      <c r="L131" s="44">
        <v>369.76</v>
      </c>
      <c r="M131" s="44">
        <v>700.22</v>
      </c>
      <c r="N131" s="44">
        <v>330.46</v>
      </c>
      <c r="O131" s="42" t="s">
        <v>103</v>
      </c>
      <c r="P131" s="42">
        <v>0</v>
      </c>
      <c r="Q131" s="45">
        <f t="shared" si="4"/>
        <v>1.8937148420597145</v>
      </c>
      <c r="R131" s="46">
        <f t="shared" si="5"/>
        <v>0</v>
      </c>
    </row>
    <row r="132" spans="1:18" x14ac:dyDescent="0.2">
      <c r="A132" s="36" t="s">
        <v>562</v>
      </c>
      <c r="B132" s="36" t="s">
        <v>563</v>
      </c>
      <c r="C132" s="36" t="s">
        <v>564</v>
      </c>
      <c r="D132" s="40">
        <v>45847</v>
      </c>
      <c r="E132" s="36" t="s">
        <v>565</v>
      </c>
      <c r="F132" s="36" t="s">
        <v>25</v>
      </c>
      <c r="G132" s="36" t="s">
        <v>120</v>
      </c>
      <c r="H132" s="36" t="s">
        <v>34</v>
      </c>
      <c r="I132" s="36" t="s">
        <v>34</v>
      </c>
      <c r="J132" s="36" t="s">
        <v>121</v>
      </c>
      <c r="K132" s="36" t="s">
        <v>103</v>
      </c>
      <c r="L132" s="37">
        <v>62.03</v>
      </c>
      <c r="M132" s="37">
        <v>32.99</v>
      </c>
      <c r="N132" s="37">
        <v>-29.04</v>
      </c>
      <c r="O132" s="36" t="s">
        <v>103</v>
      </c>
      <c r="P132" s="36">
        <v>3</v>
      </c>
      <c r="Q132" s="41">
        <f t="shared" si="4"/>
        <v>0.53183943253264554</v>
      </c>
      <c r="R132" s="38">
        <f t="shared" si="5"/>
        <v>20</v>
      </c>
    </row>
    <row r="133" spans="1:18" x14ac:dyDescent="0.2">
      <c r="A133" s="42" t="s">
        <v>566</v>
      </c>
      <c r="B133" s="42" t="s">
        <v>567</v>
      </c>
      <c r="C133" s="42" t="s">
        <v>568</v>
      </c>
      <c r="D133" s="43">
        <v>45784</v>
      </c>
      <c r="E133" s="42" t="s">
        <v>569</v>
      </c>
      <c r="F133" s="42" t="s">
        <v>22</v>
      </c>
      <c r="G133" s="42" t="s">
        <v>108</v>
      </c>
      <c r="H133" s="42" t="s">
        <v>34</v>
      </c>
      <c r="I133" s="42" t="s">
        <v>34</v>
      </c>
      <c r="J133" s="42" t="s">
        <v>188</v>
      </c>
      <c r="K133" s="42" t="s">
        <v>102</v>
      </c>
      <c r="L133" s="44">
        <v>34.799999999999997</v>
      </c>
      <c r="M133" s="44">
        <v>72.38</v>
      </c>
      <c r="N133" s="44">
        <v>37.58</v>
      </c>
      <c r="O133" s="42" t="s">
        <v>103</v>
      </c>
      <c r="P133" s="42">
        <v>0</v>
      </c>
      <c r="Q133" s="45">
        <f t="shared" si="4"/>
        <v>2.0798850574712646</v>
      </c>
      <c r="R133" s="46">
        <f t="shared" si="5"/>
        <v>10</v>
      </c>
    </row>
    <row r="134" spans="1:18" x14ac:dyDescent="0.2">
      <c r="A134" s="36" t="s">
        <v>570</v>
      </c>
      <c r="B134" s="36" t="s">
        <v>571</v>
      </c>
      <c r="C134" s="36" t="s">
        <v>572</v>
      </c>
      <c r="D134" s="40">
        <v>45785</v>
      </c>
      <c r="E134" s="36" t="s">
        <v>573</v>
      </c>
      <c r="F134" s="36" t="s">
        <v>19</v>
      </c>
      <c r="G134" s="36" t="s">
        <v>131</v>
      </c>
      <c r="H134" s="36" t="s">
        <v>34</v>
      </c>
      <c r="I134" s="36" t="s">
        <v>34</v>
      </c>
      <c r="J134" s="36" t="s">
        <v>188</v>
      </c>
      <c r="K134" s="36" t="s">
        <v>103</v>
      </c>
      <c r="L134" s="37">
        <v>170.44</v>
      </c>
      <c r="M134" s="37">
        <v>216.61</v>
      </c>
      <c r="N134" s="37">
        <v>46.17</v>
      </c>
      <c r="O134" s="36" t="s">
        <v>103</v>
      </c>
      <c r="P134" s="36">
        <v>0</v>
      </c>
      <c r="Q134" s="41">
        <f t="shared" si="4"/>
        <v>1.2708871157005399</v>
      </c>
      <c r="R134" s="38">
        <f t="shared" si="5"/>
        <v>20</v>
      </c>
    </row>
    <row r="135" spans="1:18" x14ac:dyDescent="0.2">
      <c r="A135" s="42" t="s">
        <v>574</v>
      </c>
      <c r="B135" s="42" t="s">
        <v>300</v>
      </c>
      <c r="C135" s="42" t="s">
        <v>301</v>
      </c>
      <c r="D135" s="43">
        <v>45739</v>
      </c>
      <c r="E135" s="42" t="s">
        <v>575</v>
      </c>
      <c r="F135" s="42" t="s">
        <v>29</v>
      </c>
      <c r="G135" s="42" t="s">
        <v>100</v>
      </c>
      <c r="H135" s="42" t="s">
        <v>26</v>
      </c>
      <c r="I135" s="42" t="s">
        <v>26</v>
      </c>
      <c r="J135" s="42" t="s">
        <v>303</v>
      </c>
      <c r="K135" s="42" t="s">
        <v>103</v>
      </c>
      <c r="L135" s="44">
        <v>238.74</v>
      </c>
      <c r="M135" s="44">
        <v>461.72</v>
      </c>
      <c r="N135" s="44">
        <v>222.98</v>
      </c>
      <c r="O135" s="42" t="s">
        <v>103</v>
      </c>
      <c r="P135" s="42">
        <v>1</v>
      </c>
      <c r="Q135" s="45">
        <f t="shared" si="4"/>
        <v>1.9339867638435118</v>
      </c>
      <c r="R135" s="46">
        <f t="shared" si="5"/>
        <v>20</v>
      </c>
    </row>
    <row r="136" spans="1:18" x14ac:dyDescent="0.2">
      <c r="A136" s="36" t="s">
        <v>576</v>
      </c>
      <c r="B136" s="36" t="s">
        <v>198</v>
      </c>
      <c r="C136" s="36" t="s">
        <v>199</v>
      </c>
      <c r="D136" s="40">
        <v>45859</v>
      </c>
      <c r="E136" s="36" t="s">
        <v>577</v>
      </c>
      <c r="F136" s="36" t="s">
        <v>19</v>
      </c>
      <c r="G136" s="36" t="s">
        <v>100</v>
      </c>
      <c r="H136" s="36" t="s">
        <v>28</v>
      </c>
      <c r="I136" s="36" t="s">
        <v>28</v>
      </c>
      <c r="J136" s="36" t="s">
        <v>109</v>
      </c>
      <c r="K136" s="36" t="s">
        <v>102</v>
      </c>
      <c r="L136" s="37">
        <v>483.68</v>
      </c>
      <c r="M136" s="37">
        <v>228.93</v>
      </c>
      <c r="N136" s="37">
        <v>-254.75</v>
      </c>
      <c r="O136" s="36" t="s">
        <v>103</v>
      </c>
      <c r="P136" s="36">
        <v>0</v>
      </c>
      <c r="Q136" s="41">
        <f t="shared" si="4"/>
        <v>0.47330879920608665</v>
      </c>
      <c r="R136" s="38">
        <f t="shared" si="5"/>
        <v>0</v>
      </c>
    </row>
    <row r="137" spans="1:18" x14ac:dyDescent="0.2">
      <c r="A137" s="42" t="s">
        <v>578</v>
      </c>
      <c r="B137" s="42" t="s">
        <v>128</v>
      </c>
      <c r="C137" s="42" t="s">
        <v>129</v>
      </c>
      <c r="D137" s="43">
        <v>45802</v>
      </c>
      <c r="E137" s="42" t="s">
        <v>579</v>
      </c>
      <c r="F137" s="42" t="s">
        <v>29</v>
      </c>
      <c r="G137" s="42" t="s">
        <v>120</v>
      </c>
      <c r="H137" s="42" t="s">
        <v>32</v>
      </c>
      <c r="I137" s="42" t="s">
        <v>32</v>
      </c>
      <c r="J137" s="42" t="s">
        <v>132</v>
      </c>
      <c r="K137" s="42" t="s">
        <v>102</v>
      </c>
      <c r="L137" s="44">
        <v>442.35</v>
      </c>
      <c r="M137" s="44">
        <v>636.71</v>
      </c>
      <c r="N137" s="44">
        <v>194.36</v>
      </c>
      <c r="O137" s="42" t="s">
        <v>103</v>
      </c>
      <c r="P137" s="42">
        <v>0</v>
      </c>
      <c r="Q137" s="45">
        <f t="shared" si="4"/>
        <v>1.4393805809879054</v>
      </c>
      <c r="R137" s="46">
        <f t="shared" si="5"/>
        <v>0</v>
      </c>
    </row>
    <row r="138" spans="1:18" x14ac:dyDescent="0.2">
      <c r="A138" s="36" t="s">
        <v>580</v>
      </c>
      <c r="B138" s="36" t="s">
        <v>581</v>
      </c>
      <c r="C138" s="36" t="s">
        <v>582</v>
      </c>
      <c r="D138" s="40">
        <v>45662</v>
      </c>
      <c r="E138" s="36" t="s">
        <v>583</v>
      </c>
      <c r="F138" s="36" t="s">
        <v>19</v>
      </c>
      <c r="G138" s="36" t="s">
        <v>114</v>
      </c>
      <c r="H138" s="36" t="s">
        <v>34</v>
      </c>
      <c r="I138" s="36" t="s">
        <v>34</v>
      </c>
      <c r="J138" s="36" t="s">
        <v>152</v>
      </c>
      <c r="K138" s="36" t="s">
        <v>102</v>
      </c>
      <c r="L138" s="37">
        <v>75.63</v>
      </c>
      <c r="M138" s="37">
        <v>44</v>
      </c>
      <c r="N138" s="37">
        <v>-31.63</v>
      </c>
      <c r="O138" s="36" t="s">
        <v>103</v>
      </c>
      <c r="P138" s="36">
        <v>0</v>
      </c>
      <c r="Q138" s="41">
        <f t="shared" si="4"/>
        <v>0.58177971704350129</v>
      </c>
      <c r="R138" s="38">
        <f t="shared" si="5"/>
        <v>0</v>
      </c>
    </row>
    <row r="139" spans="1:18" x14ac:dyDescent="0.2">
      <c r="A139" s="42" t="s">
        <v>584</v>
      </c>
      <c r="B139" s="42" t="s">
        <v>585</v>
      </c>
      <c r="C139" s="42" t="s">
        <v>586</v>
      </c>
      <c r="D139" s="43">
        <v>45681</v>
      </c>
      <c r="E139" s="42" t="s">
        <v>587</v>
      </c>
      <c r="F139" s="42" t="s">
        <v>31</v>
      </c>
      <c r="G139" s="42" t="s">
        <v>120</v>
      </c>
      <c r="H139" s="42" t="s">
        <v>34</v>
      </c>
      <c r="I139" s="42" t="s">
        <v>34</v>
      </c>
      <c r="J139" s="42" t="s">
        <v>121</v>
      </c>
      <c r="K139" s="42" t="s">
        <v>103</v>
      </c>
      <c r="L139" s="44">
        <v>289.44</v>
      </c>
      <c r="M139" s="44">
        <v>123.95</v>
      </c>
      <c r="N139" s="44">
        <v>-165.49</v>
      </c>
      <c r="O139" s="42" t="s">
        <v>103</v>
      </c>
      <c r="P139" s="42">
        <v>0</v>
      </c>
      <c r="Q139" s="45">
        <f t="shared" si="4"/>
        <v>0.42824074074074076</v>
      </c>
      <c r="R139" s="46">
        <f t="shared" si="5"/>
        <v>20</v>
      </c>
    </row>
    <row r="140" spans="1:18" x14ac:dyDescent="0.2">
      <c r="A140" s="36" t="s">
        <v>588</v>
      </c>
      <c r="B140" s="36" t="s">
        <v>307</v>
      </c>
      <c r="C140" s="36" t="s">
        <v>308</v>
      </c>
      <c r="D140" s="40">
        <v>45855</v>
      </c>
      <c r="E140" s="36" t="s">
        <v>589</v>
      </c>
      <c r="F140" s="36" t="s">
        <v>31</v>
      </c>
      <c r="G140" s="36" t="s">
        <v>126</v>
      </c>
      <c r="H140" s="36" t="s">
        <v>26</v>
      </c>
      <c r="I140" s="36" t="s">
        <v>26</v>
      </c>
      <c r="J140" s="36" t="s">
        <v>303</v>
      </c>
      <c r="K140" s="36" t="s">
        <v>102</v>
      </c>
      <c r="L140" s="37">
        <v>384.56</v>
      </c>
      <c r="M140" s="37">
        <v>236.65</v>
      </c>
      <c r="N140" s="37">
        <v>-147.91</v>
      </c>
      <c r="O140" s="36" t="s">
        <v>103</v>
      </c>
      <c r="P140" s="36">
        <v>0</v>
      </c>
      <c r="Q140" s="41">
        <f t="shared" si="4"/>
        <v>0.61537861452049092</v>
      </c>
      <c r="R140" s="38">
        <f t="shared" si="5"/>
        <v>10</v>
      </c>
    </row>
    <row r="141" spans="1:18" x14ac:dyDescent="0.2">
      <c r="A141" s="42" t="s">
        <v>590</v>
      </c>
      <c r="B141" s="42" t="s">
        <v>591</v>
      </c>
      <c r="C141" s="42" t="s">
        <v>592</v>
      </c>
      <c r="D141" s="43">
        <v>45718</v>
      </c>
      <c r="E141" s="42" t="s">
        <v>569</v>
      </c>
      <c r="F141" s="42" t="s">
        <v>19</v>
      </c>
      <c r="G141" s="42" t="s">
        <v>108</v>
      </c>
      <c r="H141" s="42" t="s">
        <v>34</v>
      </c>
      <c r="I141" s="42" t="s">
        <v>34</v>
      </c>
      <c r="J141" s="42" t="s">
        <v>188</v>
      </c>
      <c r="K141" s="42" t="s">
        <v>102</v>
      </c>
      <c r="L141" s="44">
        <v>203.01</v>
      </c>
      <c r="M141" s="44">
        <v>355.02</v>
      </c>
      <c r="N141" s="44">
        <v>152.01</v>
      </c>
      <c r="O141" s="42" t="s">
        <v>103</v>
      </c>
      <c r="P141" s="42">
        <v>0</v>
      </c>
      <c r="Q141" s="45">
        <f t="shared" si="4"/>
        <v>1.7487808482340772</v>
      </c>
      <c r="R141" s="46">
        <f t="shared" si="5"/>
        <v>0</v>
      </c>
    </row>
    <row r="142" spans="1:18" x14ac:dyDescent="0.2">
      <c r="A142" s="36" t="s">
        <v>593</v>
      </c>
      <c r="B142" s="36" t="s">
        <v>585</v>
      </c>
      <c r="C142" s="36" t="s">
        <v>586</v>
      </c>
      <c r="D142" s="40">
        <v>46044</v>
      </c>
      <c r="E142" s="36" t="s">
        <v>594</v>
      </c>
      <c r="F142" s="36" t="s">
        <v>25</v>
      </c>
      <c r="G142" s="36" t="s">
        <v>100</v>
      </c>
      <c r="H142" s="36" t="s">
        <v>34</v>
      </c>
      <c r="I142" s="36" t="s">
        <v>34</v>
      </c>
      <c r="J142" s="36" t="s">
        <v>121</v>
      </c>
      <c r="K142" s="36" t="s">
        <v>103</v>
      </c>
      <c r="L142" s="37">
        <v>305.20999999999998</v>
      </c>
      <c r="M142" s="37">
        <v>269.52</v>
      </c>
      <c r="N142" s="37">
        <v>-35.69</v>
      </c>
      <c r="O142" s="36" t="s">
        <v>103</v>
      </c>
      <c r="P142" s="36">
        <v>0</v>
      </c>
      <c r="Q142" s="41">
        <f t="shared" si="4"/>
        <v>0.88306411978637656</v>
      </c>
      <c r="R142" s="38">
        <f t="shared" si="5"/>
        <v>20</v>
      </c>
    </row>
    <row r="143" spans="1:18" x14ac:dyDescent="0.2">
      <c r="A143" s="42" t="s">
        <v>595</v>
      </c>
      <c r="B143" s="42" t="s">
        <v>596</v>
      </c>
      <c r="C143" s="42" t="s">
        <v>597</v>
      </c>
      <c r="D143" s="43">
        <v>45728</v>
      </c>
      <c r="E143" s="42" t="s">
        <v>598</v>
      </c>
      <c r="F143" s="42" t="s">
        <v>33</v>
      </c>
      <c r="G143" s="42" t="s">
        <v>108</v>
      </c>
      <c r="H143" s="42" t="s">
        <v>32</v>
      </c>
      <c r="I143" s="42" t="s">
        <v>32</v>
      </c>
      <c r="J143" s="42" t="s">
        <v>132</v>
      </c>
      <c r="K143" s="42" t="s">
        <v>103</v>
      </c>
      <c r="L143" s="44">
        <v>403.94</v>
      </c>
      <c r="M143" s="44">
        <v>461.51</v>
      </c>
      <c r="N143" s="44">
        <v>57.57</v>
      </c>
      <c r="O143" s="42" t="s">
        <v>103</v>
      </c>
      <c r="P143" s="42">
        <v>2</v>
      </c>
      <c r="Q143" s="45">
        <f t="shared" si="4"/>
        <v>1.1425211665098778</v>
      </c>
      <c r="R143" s="46">
        <f t="shared" si="5"/>
        <v>20</v>
      </c>
    </row>
    <row r="144" spans="1:18" x14ac:dyDescent="0.2">
      <c r="A144" s="36" t="s">
        <v>599</v>
      </c>
      <c r="B144" s="36" t="s">
        <v>69</v>
      </c>
      <c r="C144" s="36" t="s">
        <v>70</v>
      </c>
      <c r="D144" s="40">
        <v>45729</v>
      </c>
      <c r="E144" s="36" t="s">
        <v>600</v>
      </c>
      <c r="F144" s="36" t="s">
        <v>31</v>
      </c>
      <c r="G144" s="36" t="s">
        <v>126</v>
      </c>
      <c r="H144" s="36" t="s">
        <v>23</v>
      </c>
      <c r="I144" s="36" t="s">
        <v>23</v>
      </c>
      <c r="J144" s="36" t="s">
        <v>101</v>
      </c>
      <c r="K144" s="36" t="s">
        <v>103</v>
      </c>
      <c r="L144" s="37">
        <v>310.39999999999998</v>
      </c>
      <c r="M144" s="37">
        <v>110.97</v>
      </c>
      <c r="N144" s="37">
        <v>-199.43</v>
      </c>
      <c r="O144" s="36" t="s">
        <v>103</v>
      </c>
      <c r="P144" s="36">
        <v>1</v>
      </c>
      <c r="Q144" s="41">
        <f t="shared" si="4"/>
        <v>0.35750644329896908</v>
      </c>
      <c r="R144" s="38">
        <f t="shared" si="5"/>
        <v>30</v>
      </c>
    </row>
    <row r="145" spans="1:18" x14ac:dyDescent="0.2">
      <c r="A145" s="42" t="s">
        <v>601</v>
      </c>
      <c r="B145" s="42" t="s">
        <v>111</v>
      </c>
      <c r="C145" s="42" t="s">
        <v>112</v>
      </c>
      <c r="D145" s="43">
        <v>45961</v>
      </c>
      <c r="E145" s="42" t="s">
        <v>602</v>
      </c>
      <c r="F145" s="42" t="s">
        <v>27</v>
      </c>
      <c r="G145" s="42" t="s">
        <v>108</v>
      </c>
      <c r="H145" s="42" t="s">
        <v>34</v>
      </c>
      <c r="I145" s="42" t="s">
        <v>34</v>
      </c>
      <c r="J145" s="42" t="s">
        <v>115</v>
      </c>
      <c r="K145" s="42" t="s">
        <v>102</v>
      </c>
      <c r="L145" s="44">
        <v>415.86</v>
      </c>
      <c r="M145" s="44">
        <v>487.03</v>
      </c>
      <c r="N145" s="44">
        <v>71.17</v>
      </c>
      <c r="O145" s="42" t="s">
        <v>103</v>
      </c>
      <c r="P145" s="42">
        <v>2</v>
      </c>
      <c r="Q145" s="45">
        <f t="shared" si="4"/>
        <v>1.1711393257346221</v>
      </c>
      <c r="R145" s="46">
        <f t="shared" si="5"/>
        <v>0</v>
      </c>
    </row>
    <row r="146" spans="1:18" x14ac:dyDescent="0.2">
      <c r="A146" s="36" t="s">
        <v>603</v>
      </c>
      <c r="B146" s="36" t="s">
        <v>111</v>
      </c>
      <c r="C146" s="36" t="s">
        <v>112</v>
      </c>
      <c r="D146" s="40">
        <v>45901</v>
      </c>
      <c r="E146" s="36" t="s">
        <v>604</v>
      </c>
      <c r="F146" s="36" t="s">
        <v>29</v>
      </c>
      <c r="G146" s="36" t="s">
        <v>108</v>
      </c>
      <c r="H146" s="36" t="s">
        <v>34</v>
      </c>
      <c r="I146" s="36" t="s">
        <v>34</v>
      </c>
      <c r="J146" s="36" t="s">
        <v>115</v>
      </c>
      <c r="K146" s="36" t="s">
        <v>102</v>
      </c>
      <c r="L146" s="37">
        <v>172.31</v>
      </c>
      <c r="M146" s="37">
        <v>41.55</v>
      </c>
      <c r="N146" s="37">
        <v>-130.76</v>
      </c>
      <c r="O146" s="36" t="s">
        <v>103</v>
      </c>
      <c r="P146" s="36">
        <v>2</v>
      </c>
      <c r="Q146" s="41">
        <f t="shared" si="4"/>
        <v>0.24113516336834773</v>
      </c>
      <c r="R146" s="38">
        <f t="shared" si="5"/>
        <v>0</v>
      </c>
    </row>
    <row r="147" spans="1:18" x14ac:dyDescent="0.2">
      <c r="A147" s="42" t="s">
        <v>605</v>
      </c>
      <c r="B147" s="42" t="s">
        <v>606</v>
      </c>
      <c r="C147" s="42" t="s">
        <v>607</v>
      </c>
      <c r="D147" s="43">
        <v>46065</v>
      </c>
      <c r="E147" s="42" t="s">
        <v>608</v>
      </c>
      <c r="F147" s="42" t="s">
        <v>29</v>
      </c>
      <c r="G147" s="42" t="s">
        <v>120</v>
      </c>
      <c r="H147" s="42" t="s">
        <v>34</v>
      </c>
      <c r="I147" s="42" t="s">
        <v>34</v>
      </c>
      <c r="J147" s="42" t="s">
        <v>121</v>
      </c>
      <c r="K147" s="42" t="s">
        <v>102</v>
      </c>
      <c r="L147" s="44">
        <v>347.14</v>
      </c>
      <c r="M147" s="44">
        <v>20.350000000000001</v>
      </c>
      <c r="N147" s="44">
        <v>-326.79000000000002</v>
      </c>
      <c r="O147" s="42" t="s">
        <v>103</v>
      </c>
      <c r="P147" s="42">
        <v>0</v>
      </c>
      <c r="Q147" s="45">
        <f t="shared" si="4"/>
        <v>5.8621881661577467E-2</v>
      </c>
      <c r="R147" s="46">
        <f t="shared" si="5"/>
        <v>0</v>
      </c>
    </row>
    <row r="148" spans="1:18" x14ac:dyDescent="0.2">
      <c r="A148" s="36" t="s">
        <v>609</v>
      </c>
      <c r="B148" s="36" t="s">
        <v>610</v>
      </c>
      <c r="C148" s="36" t="s">
        <v>611</v>
      </c>
      <c r="D148" s="40">
        <v>46058</v>
      </c>
      <c r="E148" s="36" t="s">
        <v>612</v>
      </c>
      <c r="F148" s="36" t="s">
        <v>29</v>
      </c>
      <c r="G148" s="36" t="s">
        <v>131</v>
      </c>
      <c r="H148" s="36" t="s">
        <v>34</v>
      </c>
      <c r="I148" s="36" t="s">
        <v>34</v>
      </c>
      <c r="J148" s="36" t="s">
        <v>121</v>
      </c>
      <c r="K148" s="36" t="s">
        <v>102</v>
      </c>
      <c r="L148" s="37">
        <v>121.5</v>
      </c>
      <c r="M148" s="37">
        <v>13.73</v>
      </c>
      <c r="N148" s="37">
        <v>-107.77</v>
      </c>
      <c r="O148" s="36" t="s">
        <v>103</v>
      </c>
      <c r="P148" s="36">
        <v>0</v>
      </c>
      <c r="Q148" s="41">
        <f t="shared" si="4"/>
        <v>0.11300411522633745</v>
      </c>
      <c r="R148" s="38">
        <f t="shared" si="5"/>
        <v>0</v>
      </c>
    </row>
    <row r="149" spans="1:18" x14ac:dyDescent="0.2">
      <c r="A149" s="42" t="s">
        <v>613</v>
      </c>
      <c r="B149" s="42" t="s">
        <v>384</v>
      </c>
      <c r="C149" s="42" t="s">
        <v>385</v>
      </c>
      <c r="D149" s="43">
        <v>45980</v>
      </c>
      <c r="E149" s="42" t="s">
        <v>614</v>
      </c>
      <c r="F149" s="42" t="s">
        <v>22</v>
      </c>
      <c r="G149" s="42" t="s">
        <v>126</v>
      </c>
      <c r="H149" s="42" t="s">
        <v>34</v>
      </c>
      <c r="I149" s="42" t="s">
        <v>34</v>
      </c>
      <c r="J149" s="42" t="s">
        <v>115</v>
      </c>
      <c r="K149" s="42" t="s">
        <v>102</v>
      </c>
      <c r="L149" s="44">
        <v>389.56</v>
      </c>
      <c r="M149" s="44">
        <v>325.83999999999997</v>
      </c>
      <c r="N149" s="44">
        <v>-63.72</v>
      </c>
      <c r="O149" s="42" t="s">
        <v>103</v>
      </c>
      <c r="P149" s="42">
        <v>0</v>
      </c>
      <c r="Q149" s="45">
        <f t="shared" si="4"/>
        <v>0.83643084505596055</v>
      </c>
      <c r="R149" s="46">
        <f t="shared" si="5"/>
        <v>10</v>
      </c>
    </row>
    <row r="150" spans="1:18" x14ac:dyDescent="0.2">
      <c r="A150" s="36" t="s">
        <v>615</v>
      </c>
      <c r="B150" s="36" t="s">
        <v>202</v>
      </c>
      <c r="C150" s="36" t="s">
        <v>203</v>
      </c>
      <c r="D150" s="40">
        <v>45674</v>
      </c>
      <c r="E150" s="36" t="s">
        <v>616</v>
      </c>
      <c r="F150" s="36" t="s">
        <v>19</v>
      </c>
      <c r="G150" s="36" t="s">
        <v>114</v>
      </c>
      <c r="H150" s="36" t="s">
        <v>34</v>
      </c>
      <c r="I150" s="36" t="s">
        <v>34</v>
      </c>
      <c r="J150" s="36" t="s">
        <v>152</v>
      </c>
      <c r="K150" s="36" t="s">
        <v>103</v>
      </c>
      <c r="L150" s="37">
        <v>63.85</v>
      </c>
      <c r="M150" s="37">
        <v>2.66</v>
      </c>
      <c r="N150" s="37">
        <v>-61.19</v>
      </c>
      <c r="O150" s="36" t="s">
        <v>103</v>
      </c>
      <c r="P150" s="36">
        <v>0</v>
      </c>
      <c r="Q150" s="41">
        <f t="shared" si="4"/>
        <v>4.1660140955364133E-2</v>
      </c>
      <c r="R150" s="38">
        <f t="shared" si="5"/>
        <v>20</v>
      </c>
    </row>
    <row r="151" spans="1:18" x14ac:dyDescent="0.2">
      <c r="A151" s="42" t="s">
        <v>617</v>
      </c>
      <c r="B151" s="42" t="s">
        <v>340</v>
      </c>
      <c r="C151" s="42" t="s">
        <v>341</v>
      </c>
      <c r="D151" s="43">
        <v>45869</v>
      </c>
      <c r="E151" s="42" t="s">
        <v>618</v>
      </c>
      <c r="F151" s="42" t="s">
        <v>29</v>
      </c>
      <c r="G151" s="42" t="s">
        <v>126</v>
      </c>
      <c r="H151" s="42" t="s">
        <v>32</v>
      </c>
      <c r="I151" s="42" t="s">
        <v>32</v>
      </c>
      <c r="J151" s="42" t="s">
        <v>132</v>
      </c>
      <c r="K151" s="42" t="s">
        <v>102</v>
      </c>
      <c r="L151" s="44">
        <v>211.08</v>
      </c>
      <c r="M151" s="44">
        <v>359.88</v>
      </c>
      <c r="N151" s="44">
        <v>148.80000000000001</v>
      </c>
      <c r="O151" s="42" t="s">
        <v>103</v>
      </c>
      <c r="P151" s="42">
        <v>2</v>
      </c>
      <c r="Q151" s="45">
        <f t="shared" si="4"/>
        <v>1.7049459920409322</v>
      </c>
      <c r="R151" s="46">
        <f t="shared" si="5"/>
        <v>10</v>
      </c>
    </row>
    <row r="152" spans="1:18" x14ac:dyDescent="0.2">
      <c r="A152" s="36" t="s">
        <v>619</v>
      </c>
      <c r="B152" s="36" t="s">
        <v>477</v>
      </c>
      <c r="C152" s="36" t="s">
        <v>478</v>
      </c>
      <c r="D152" s="40">
        <v>45689</v>
      </c>
      <c r="E152" s="36" t="s">
        <v>620</v>
      </c>
      <c r="F152" s="36" t="s">
        <v>27</v>
      </c>
      <c r="G152" s="36" t="s">
        <v>114</v>
      </c>
      <c r="H152" s="36" t="s">
        <v>23</v>
      </c>
      <c r="I152" s="36" t="s">
        <v>23</v>
      </c>
      <c r="J152" s="36" t="s">
        <v>101</v>
      </c>
      <c r="K152" s="36" t="s">
        <v>102</v>
      </c>
      <c r="L152" s="37">
        <v>264.14999999999998</v>
      </c>
      <c r="M152" s="37">
        <v>325.95</v>
      </c>
      <c r="N152" s="37">
        <v>61.8</v>
      </c>
      <c r="O152" s="36" t="s">
        <v>103</v>
      </c>
      <c r="P152" s="36">
        <v>1</v>
      </c>
      <c r="Q152" s="41">
        <f t="shared" si="4"/>
        <v>1.2339579784213515</v>
      </c>
      <c r="R152" s="38">
        <f t="shared" si="5"/>
        <v>0</v>
      </c>
    </row>
    <row r="153" spans="1:18" x14ac:dyDescent="0.2">
      <c r="A153" s="42" t="s">
        <v>621</v>
      </c>
      <c r="B153" s="42" t="s">
        <v>384</v>
      </c>
      <c r="C153" s="42" t="s">
        <v>385</v>
      </c>
      <c r="D153" s="43">
        <v>45850</v>
      </c>
      <c r="E153" s="42" t="s">
        <v>622</v>
      </c>
      <c r="F153" s="42" t="s">
        <v>31</v>
      </c>
      <c r="G153" s="42" t="s">
        <v>120</v>
      </c>
      <c r="H153" s="42" t="s">
        <v>34</v>
      </c>
      <c r="I153" s="42" t="s">
        <v>34</v>
      </c>
      <c r="J153" s="42" t="s">
        <v>115</v>
      </c>
      <c r="K153" s="42" t="s">
        <v>102</v>
      </c>
      <c r="L153" s="44">
        <v>235.24</v>
      </c>
      <c r="M153" s="44">
        <v>275.91000000000003</v>
      </c>
      <c r="N153" s="44">
        <v>40.67</v>
      </c>
      <c r="O153" s="42" t="s">
        <v>103</v>
      </c>
      <c r="P153" s="42">
        <v>0</v>
      </c>
      <c r="Q153" s="45">
        <f t="shared" si="4"/>
        <v>1.1728872640707364</v>
      </c>
      <c r="R153" s="46">
        <f t="shared" si="5"/>
        <v>0</v>
      </c>
    </row>
    <row r="154" spans="1:18" x14ac:dyDescent="0.2">
      <c r="A154" s="36" t="s">
        <v>623</v>
      </c>
      <c r="B154" s="36" t="s">
        <v>364</v>
      </c>
      <c r="C154" s="36" t="s">
        <v>365</v>
      </c>
      <c r="D154" s="40">
        <v>46053</v>
      </c>
      <c r="E154" s="36" t="s">
        <v>624</v>
      </c>
      <c r="F154" s="36" t="s">
        <v>31</v>
      </c>
      <c r="G154" s="36" t="s">
        <v>114</v>
      </c>
      <c r="H154" s="36" t="s">
        <v>34</v>
      </c>
      <c r="I154" s="36" t="s">
        <v>34</v>
      </c>
      <c r="J154" s="36" t="s">
        <v>188</v>
      </c>
      <c r="K154" s="36" t="s">
        <v>102</v>
      </c>
      <c r="L154" s="37">
        <v>325.22000000000003</v>
      </c>
      <c r="M154" s="37">
        <v>496.05</v>
      </c>
      <c r="N154" s="37">
        <v>170.83</v>
      </c>
      <c r="O154" s="36" t="s">
        <v>103</v>
      </c>
      <c r="P154" s="36">
        <v>1</v>
      </c>
      <c r="Q154" s="41">
        <f t="shared" si="4"/>
        <v>1.5252751983272861</v>
      </c>
      <c r="R154" s="38">
        <f t="shared" si="5"/>
        <v>0</v>
      </c>
    </row>
    <row r="155" spans="1:18" x14ac:dyDescent="0.2">
      <c r="A155" s="42" t="s">
        <v>625</v>
      </c>
      <c r="B155" s="42" t="s">
        <v>626</v>
      </c>
      <c r="C155" s="42" t="s">
        <v>627</v>
      </c>
      <c r="D155" s="43">
        <v>45784</v>
      </c>
      <c r="E155" s="42" t="s">
        <v>628</v>
      </c>
      <c r="F155" s="42" t="s">
        <v>19</v>
      </c>
      <c r="G155" s="42" t="s">
        <v>120</v>
      </c>
      <c r="H155" s="42" t="s">
        <v>28</v>
      </c>
      <c r="I155" s="42" t="s">
        <v>28</v>
      </c>
      <c r="J155" s="42" t="s">
        <v>109</v>
      </c>
      <c r="K155" s="42" t="s">
        <v>102</v>
      </c>
      <c r="L155" s="44">
        <v>156.26</v>
      </c>
      <c r="M155" s="44">
        <v>323.66000000000003</v>
      </c>
      <c r="N155" s="44">
        <v>167.4</v>
      </c>
      <c r="O155" s="42" t="s">
        <v>103</v>
      </c>
      <c r="P155" s="42">
        <v>0</v>
      </c>
      <c r="Q155" s="45">
        <f t="shared" si="4"/>
        <v>2.0712914373480098</v>
      </c>
      <c r="R155" s="46">
        <f t="shared" si="5"/>
        <v>10</v>
      </c>
    </row>
    <row r="156" spans="1:18" x14ac:dyDescent="0.2">
      <c r="A156" s="36" t="s">
        <v>629</v>
      </c>
      <c r="B156" s="36" t="s">
        <v>630</v>
      </c>
      <c r="C156" s="36" t="s">
        <v>631</v>
      </c>
      <c r="D156" s="40">
        <v>45764</v>
      </c>
      <c r="E156" s="36" t="s">
        <v>632</v>
      </c>
      <c r="F156" s="36" t="s">
        <v>31</v>
      </c>
      <c r="G156" s="36" t="s">
        <v>126</v>
      </c>
      <c r="H156" s="36" t="s">
        <v>34</v>
      </c>
      <c r="I156" s="36" t="s">
        <v>34</v>
      </c>
      <c r="J156" s="36" t="s">
        <v>121</v>
      </c>
      <c r="K156" s="36" t="s">
        <v>102</v>
      </c>
      <c r="L156" s="37">
        <v>249.61</v>
      </c>
      <c r="M156" s="37">
        <v>263.48</v>
      </c>
      <c r="N156" s="37">
        <v>13.87</v>
      </c>
      <c r="O156" s="36" t="s">
        <v>103</v>
      </c>
      <c r="P156" s="36">
        <v>0</v>
      </c>
      <c r="Q156" s="41">
        <f t="shared" si="4"/>
        <v>1.0555666840270823</v>
      </c>
      <c r="R156" s="38">
        <f t="shared" si="5"/>
        <v>10</v>
      </c>
    </row>
    <row r="157" spans="1:18" x14ac:dyDescent="0.2">
      <c r="A157" s="42" t="s">
        <v>633</v>
      </c>
      <c r="B157" s="42" t="s">
        <v>208</v>
      </c>
      <c r="C157" s="42" t="s">
        <v>209</v>
      </c>
      <c r="D157" s="43">
        <v>45805</v>
      </c>
      <c r="E157" s="42" t="s">
        <v>634</v>
      </c>
      <c r="F157" s="42" t="s">
        <v>29</v>
      </c>
      <c r="G157" s="42" t="s">
        <v>120</v>
      </c>
      <c r="H157" s="42" t="s">
        <v>30</v>
      </c>
      <c r="I157" s="42" t="s">
        <v>30</v>
      </c>
      <c r="J157" s="42" t="s">
        <v>143</v>
      </c>
      <c r="K157" s="42" t="s">
        <v>102</v>
      </c>
      <c r="L157" s="44">
        <v>341.54</v>
      </c>
      <c r="M157" s="44">
        <v>285.3</v>
      </c>
      <c r="N157" s="44">
        <v>-56.24</v>
      </c>
      <c r="O157" s="42" t="s">
        <v>103</v>
      </c>
      <c r="P157" s="42">
        <v>0</v>
      </c>
      <c r="Q157" s="45">
        <f t="shared" si="4"/>
        <v>0.83533407507173385</v>
      </c>
      <c r="R157" s="46">
        <f t="shared" si="5"/>
        <v>0</v>
      </c>
    </row>
    <row r="158" spans="1:18" x14ac:dyDescent="0.2">
      <c r="A158" s="36" t="s">
        <v>635</v>
      </c>
      <c r="B158" s="36" t="s">
        <v>395</v>
      </c>
      <c r="C158" s="36" t="s">
        <v>396</v>
      </c>
      <c r="D158" s="40">
        <v>46069</v>
      </c>
      <c r="E158" s="36" t="s">
        <v>636</v>
      </c>
      <c r="F158" s="36" t="s">
        <v>25</v>
      </c>
      <c r="G158" s="36" t="s">
        <v>120</v>
      </c>
      <c r="H158" s="36" t="s">
        <v>23</v>
      </c>
      <c r="I158" s="36" t="s">
        <v>23</v>
      </c>
      <c r="J158" s="36" t="s">
        <v>101</v>
      </c>
      <c r="K158" s="36" t="s">
        <v>102</v>
      </c>
      <c r="L158" s="37">
        <v>30.61</v>
      </c>
      <c r="M158" s="37">
        <v>64.33</v>
      </c>
      <c r="N158" s="37">
        <v>33.72</v>
      </c>
      <c r="O158" s="36" t="s">
        <v>103</v>
      </c>
      <c r="P158" s="36">
        <v>0</v>
      </c>
      <c r="Q158" s="41">
        <f t="shared" si="4"/>
        <v>2.1016007840574975</v>
      </c>
      <c r="R158" s="38">
        <f t="shared" si="5"/>
        <v>10</v>
      </c>
    </row>
    <row r="159" spans="1:18" x14ac:dyDescent="0.2">
      <c r="A159" s="42" t="s">
        <v>637</v>
      </c>
      <c r="B159" s="42" t="s">
        <v>499</v>
      </c>
      <c r="C159" s="42" t="s">
        <v>500</v>
      </c>
      <c r="D159" s="43">
        <v>45993</v>
      </c>
      <c r="E159" s="42" t="s">
        <v>638</v>
      </c>
      <c r="F159" s="42" t="s">
        <v>31</v>
      </c>
      <c r="G159" s="42" t="s">
        <v>120</v>
      </c>
      <c r="H159" s="42" t="s">
        <v>34</v>
      </c>
      <c r="I159" s="42" t="s">
        <v>34</v>
      </c>
      <c r="J159" s="42" t="s">
        <v>121</v>
      </c>
      <c r="K159" s="42" t="s">
        <v>103</v>
      </c>
      <c r="L159" s="44">
        <v>244.75</v>
      </c>
      <c r="M159" s="44">
        <v>108.8</v>
      </c>
      <c r="N159" s="44">
        <v>-135.94999999999999</v>
      </c>
      <c r="O159" s="42" t="s">
        <v>103</v>
      </c>
      <c r="P159" s="42">
        <v>0</v>
      </c>
      <c r="Q159" s="45">
        <f t="shared" si="4"/>
        <v>0.44453524004085798</v>
      </c>
      <c r="R159" s="46">
        <f t="shared" si="5"/>
        <v>20</v>
      </c>
    </row>
    <row r="160" spans="1:18" x14ac:dyDescent="0.2">
      <c r="A160" s="36" t="s">
        <v>639</v>
      </c>
      <c r="B160" s="36" t="s">
        <v>168</v>
      </c>
      <c r="C160" s="36" t="s">
        <v>169</v>
      </c>
      <c r="D160" s="40">
        <v>46014</v>
      </c>
      <c r="E160" s="36" t="s">
        <v>640</v>
      </c>
      <c r="F160" s="36" t="s">
        <v>33</v>
      </c>
      <c r="G160" s="36" t="s">
        <v>131</v>
      </c>
      <c r="H160" s="36" t="s">
        <v>34</v>
      </c>
      <c r="I160" s="36" t="s">
        <v>34</v>
      </c>
      <c r="J160" s="36" t="s">
        <v>121</v>
      </c>
      <c r="K160" s="36" t="s">
        <v>102</v>
      </c>
      <c r="L160" s="37">
        <v>63.52</v>
      </c>
      <c r="M160" s="37">
        <v>103.54</v>
      </c>
      <c r="N160" s="37">
        <v>40.020000000000003</v>
      </c>
      <c r="O160" s="36" t="s">
        <v>103</v>
      </c>
      <c r="P160" s="36">
        <v>3</v>
      </c>
      <c r="Q160" s="41">
        <f t="shared" si="4"/>
        <v>1.6300377833753148</v>
      </c>
      <c r="R160" s="38">
        <f t="shared" si="5"/>
        <v>0</v>
      </c>
    </row>
    <row r="161" spans="1:18" x14ac:dyDescent="0.2">
      <c r="A161" s="42" t="s">
        <v>641</v>
      </c>
      <c r="B161" s="42" t="s">
        <v>128</v>
      </c>
      <c r="C161" s="42" t="s">
        <v>129</v>
      </c>
      <c r="D161" s="43">
        <v>46000</v>
      </c>
      <c r="E161" s="42" t="s">
        <v>642</v>
      </c>
      <c r="F161" s="42" t="s">
        <v>29</v>
      </c>
      <c r="G161" s="42" t="s">
        <v>120</v>
      </c>
      <c r="H161" s="42" t="s">
        <v>32</v>
      </c>
      <c r="I161" s="42" t="s">
        <v>32</v>
      </c>
      <c r="J161" s="42" t="s">
        <v>132</v>
      </c>
      <c r="K161" s="42" t="s">
        <v>102</v>
      </c>
      <c r="L161" s="44">
        <v>322.58999999999997</v>
      </c>
      <c r="M161" s="44">
        <v>37.25</v>
      </c>
      <c r="N161" s="44">
        <v>-285.33999999999997</v>
      </c>
      <c r="O161" s="42" t="s">
        <v>103</v>
      </c>
      <c r="P161" s="42">
        <v>0</v>
      </c>
      <c r="Q161" s="45">
        <f t="shared" si="4"/>
        <v>0.11547165132211167</v>
      </c>
      <c r="R161" s="46">
        <f t="shared" si="5"/>
        <v>0</v>
      </c>
    </row>
    <row r="162" spans="1:18" x14ac:dyDescent="0.2">
      <c r="A162" s="36" t="s">
        <v>643</v>
      </c>
      <c r="B162" s="36" t="s">
        <v>465</v>
      </c>
      <c r="C162" s="36" t="s">
        <v>466</v>
      </c>
      <c r="D162" s="40">
        <v>45899</v>
      </c>
      <c r="E162" s="36" t="s">
        <v>644</v>
      </c>
      <c r="F162" s="36" t="s">
        <v>31</v>
      </c>
      <c r="G162" s="36" t="s">
        <v>131</v>
      </c>
      <c r="H162" s="36" t="s">
        <v>34</v>
      </c>
      <c r="I162" s="36" t="s">
        <v>34</v>
      </c>
      <c r="J162" s="36" t="s">
        <v>152</v>
      </c>
      <c r="K162" s="36" t="s">
        <v>103</v>
      </c>
      <c r="L162" s="37">
        <v>387.68</v>
      </c>
      <c r="M162" s="37">
        <v>4.42</v>
      </c>
      <c r="N162" s="37">
        <v>-383.26</v>
      </c>
      <c r="O162" s="36" t="s">
        <v>103</v>
      </c>
      <c r="P162" s="36">
        <v>0</v>
      </c>
      <c r="Q162" s="41">
        <f t="shared" si="4"/>
        <v>1.1401155592241023E-2</v>
      </c>
      <c r="R162" s="38">
        <f t="shared" si="5"/>
        <v>20</v>
      </c>
    </row>
    <row r="163" spans="1:18" x14ac:dyDescent="0.2">
      <c r="A163" s="42" t="s">
        <v>645</v>
      </c>
      <c r="B163" s="42" t="s">
        <v>646</v>
      </c>
      <c r="C163" s="42" t="s">
        <v>647</v>
      </c>
      <c r="D163" s="43">
        <v>45992</v>
      </c>
      <c r="E163" s="42" t="s">
        <v>648</v>
      </c>
      <c r="F163" s="42" t="s">
        <v>19</v>
      </c>
      <c r="G163" s="42" t="s">
        <v>120</v>
      </c>
      <c r="H163" s="42" t="s">
        <v>34</v>
      </c>
      <c r="I163" s="42" t="s">
        <v>34</v>
      </c>
      <c r="J163" s="42" t="s">
        <v>188</v>
      </c>
      <c r="K163" s="42" t="s">
        <v>102</v>
      </c>
      <c r="L163" s="44">
        <v>328.76</v>
      </c>
      <c r="M163" s="44">
        <v>546.73</v>
      </c>
      <c r="N163" s="44">
        <v>217.97</v>
      </c>
      <c r="O163" s="42" t="s">
        <v>103</v>
      </c>
      <c r="P163" s="42">
        <v>0</v>
      </c>
      <c r="Q163" s="45">
        <f t="shared" si="4"/>
        <v>1.6630064484730505</v>
      </c>
      <c r="R163" s="46">
        <f t="shared" si="5"/>
        <v>0</v>
      </c>
    </row>
    <row r="164" spans="1:18" x14ac:dyDescent="0.2">
      <c r="A164" s="36" t="s">
        <v>649</v>
      </c>
      <c r="B164" s="36" t="s">
        <v>650</v>
      </c>
      <c r="C164" s="36" t="s">
        <v>651</v>
      </c>
      <c r="D164" s="40">
        <v>45988</v>
      </c>
      <c r="E164" s="36" t="s">
        <v>652</v>
      </c>
      <c r="F164" s="36" t="s">
        <v>33</v>
      </c>
      <c r="G164" s="36" t="s">
        <v>108</v>
      </c>
      <c r="H164" s="36" t="s">
        <v>23</v>
      </c>
      <c r="I164" s="36" t="s">
        <v>23</v>
      </c>
      <c r="J164" s="36" t="s">
        <v>101</v>
      </c>
      <c r="K164" s="36" t="s">
        <v>102</v>
      </c>
      <c r="L164" s="37">
        <v>386.68</v>
      </c>
      <c r="M164" s="37">
        <v>554.91</v>
      </c>
      <c r="N164" s="37">
        <v>168.23</v>
      </c>
      <c r="O164" s="36" t="s">
        <v>103</v>
      </c>
      <c r="P164" s="36">
        <v>2</v>
      </c>
      <c r="Q164" s="41">
        <f t="shared" si="4"/>
        <v>1.4350625840488258</v>
      </c>
      <c r="R164" s="38">
        <f t="shared" si="5"/>
        <v>0</v>
      </c>
    </row>
    <row r="165" spans="1:18" x14ac:dyDescent="0.2">
      <c r="A165" s="42" t="s">
        <v>653</v>
      </c>
      <c r="B165" s="42" t="s">
        <v>654</v>
      </c>
      <c r="C165" s="42" t="s">
        <v>655</v>
      </c>
      <c r="D165" s="43">
        <v>46028</v>
      </c>
      <c r="E165" s="42" t="s">
        <v>652</v>
      </c>
      <c r="F165" s="42" t="s">
        <v>22</v>
      </c>
      <c r="G165" s="42" t="s">
        <v>131</v>
      </c>
      <c r="H165" s="42" t="s">
        <v>30</v>
      </c>
      <c r="I165" s="42" t="s">
        <v>30</v>
      </c>
      <c r="J165" s="42" t="s">
        <v>143</v>
      </c>
      <c r="K165" s="42" t="s">
        <v>102</v>
      </c>
      <c r="L165" s="44">
        <v>461.52</v>
      </c>
      <c r="M165" s="44">
        <v>424.3</v>
      </c>
      <c r="N165" s="44">
        <v>-37.22</v>
      </c>
      <c r="O165" s="42" t="s">
        <v>103</v>
      </c>
      <c r="P165" s="42">
        <v>0</v>
      </c>
      <c r="Q165" s="45">
        <f t="shared" si="4"/>
        <v>0.91935344080429893</v>
      </c>
      <c r="R165" s="46">
        <f t="shared" si="5"/>
        <v>0</v>
      </c>
    </row>
    <row r="166" spans="1:18" x14ac:dyDescent="0.2">
      <c r="A166" s="36" t="s">
        <v>656</v>
      </c>
      <c r="B166" s="36" t="s">
        <v>596</v>
      </c>
      <c r="C166" s="36" t="s">
        <v>597</v>
      </c>
      <c r="D166" s="40">
        <v>45861</v>
      </c>
      <c r="E166" s="36" t="s">
        <v>657</v>
      </c>
      <c r="F166" s="36" t="s">
        <v>19</v>
      </c>
      <c r="G166" s="36" t="s">
        <v>100</v>
      </c>
      <c r="H166" s="36" t="s">
        <v>32</v>
      </c>
      <c r="I166" s="36" t="s">
        <v>32</v>
      </c>
      <c r="J166" s="36" t="s">
        <v>132</v>
      </c>
      <c r="K166" s="36" t="s">
        <v>103</v>
      </c>
      <c r="L166" s="37">
        <v>468.94</v>
      </c>
      <c r="M166" s="37">
        <v>992.6</v>
      </c>
      <c r="N166" s="37">
        <v>523.66</v>
      </c>
      <c r="O166" s="36" t="s">
        <v>103</v>
      </c>
      <c r="P166" s="36">
        <v>2</v>
      </c>
      <c r="Q166" s="41">
        <f t="shared" si="4"/>
        <v>2.1166887021793834</v>
      </c>
      <c r="R166" s="38">
        <f t="shared" si="5"/>
        <v>30</v>
      </c>
    </row>
    <row r="167" spans="1:18" x14ac:dyDescent="0.2">
      <c r="A167" s="42" t="s">
        <v>658</v>
      </c>
      <c r="B167" s="42" t="s">
        <v>659</v>
      </c>
      <c r="C167" s="42" t="s">
        <v>660</v>
      </c>
      <c r="D167" s="43">
        <v>45810</v>
      </c>
      <c r="E167" s="42" t="s">
        <v>661</v>
      </c>
      <c r="F167" s="42" t="s">
        <v>19</v>
      </c>
      <c r="G167" s="42" t="s">
        <v>114</v>
      </c>
      <c r="H167" s="42" t="s">
        <v>34</v>
      </c>
      <c r="I167" s="42" t="s">
        <v>34</v>
      </c>
      <c r="J167" s="42" t="s">
        <v>121</v>
      </c>
      <c r="K167" s="42" t="s">
        <v>102</v>
      </c>
      <c r="L167" s="44">
        <v>62.58</v>
      </c>
      <c r="M167" s="44">
        <v>135.33000000000001</v>
      </c>
      <c r="N167" s="44">
        <v>72.75</v>
      </c>
      <c r="O167" s="42" t="s">
        <v>103</v>
      </c>
      <c r="P167" s="42">
        <v>0</v>
      </c>
      <c r="Q167" s="45">
        <f t="shared" si="4"/>
        <v>2.1625119846596359</v>
      </c>
      <c r="R167" s="46">
        <f t="shared" si="5"/>
        <v>10</v>
      </c>
    </row>
    <row r="168" spans="1:18" x14ac:dyDescent="0.2">
      <c r="A168" s="36" t="s">
        <v>662</v>
      </c>
      <c r="B168" s="36" t="s">
        <v>380</v>
      </c>
      <c r="C168" s="36" t="s">
        <v>381</v>
      </c>
      <c r="D168" s="40">
        <v>45936</v>
      </c>
      <c r="E168" s="36" t="s">
        <v>663</v>
      </c>
      <c r="F168" s="36" t="s">
        <v>31</v>
      </c>
      <c r="G168" s="36" t="s">
        <v>114</v>
      </c>
      <c r="H168" s="36" t="s">
        <v>34</v>
      </c>
      <c r="I168" s="36" t="s">
        <v>34</v>
      </c>
      <c r="J168" s="36" t="s">
        <v>121</v>
      </c>
      <c r="K168" s="36" t="s">
        <v>103</v>
      </c>
      <c r="L168" s="37">
        <v>445.74</v>
      </c>
      <c r="M168" s="37">
        <v>131.6</v>
      </c>
      <c r="N168" s="37">
        <v>-314.14</v>
      </c>
      <c r="O168" s="36" t="s">
        <v>103</v>
      </c>
      <c r="P168" s="36">
        <v>1</v>
      </c>
      <c r="Q168" s="41">
        <f t="shared" si="4"/>
        <v>0.29523937721541704</v>
      </c>
      <c r="R168" s="38">
        <f t="shared" si="5"/>
        <v>20</v>
      </c>
    </row>
    <row r="169" spans="1:18" x14ac:dyDescent="0.2">
      <c r="A169" s="42" t="s">
        <v>664</v>
      </c>
      <c r="B169" s="42" t="s">
        <v>665</v>
      </c>
      <c r="C169" s="42" t="s">
        <v>666</v>
      </c>
      <c r="D169" s="43">
        <v>45756</v>
      </c>
      <c r="E169" s="42" t="s">
        <v>667</v>
      </c>
      <c r="F169" s="42" t="s">
        <v>19</v>
      </c>
      <c r="G169" s="42" t="s">
        <v>126</v>
      </c>
      <c r="H169" s="42" t="s">
        <v>34</v>
      </c>
      <c r="I169" s="42" t="s">
        <v>34</v>
      </c>
      <c r="J169" s="42" t="s">
        <v>152</v>
      </c>
      <c r="K169" s="42" t="s">
        <v>102</v>
      </c>
      <c r="L169" s="44">
        <v>89.62</v>
      </c>
      <c r="M169" s="44">
        <v>90.48</v>
      </c>
      <c r="N169" s="44">
        <v>0.86</v>
      </c>
      <c r="O169" s="42" t="s">
        <v>103</v>
      </c>
      <c r="P169" s="42">
        <v>0</v>
      </c>
      <c r="Q169" s="45">
        <f t="shared" si="4"/>
        <v>1.009596072305289</v>
      </c>
      <c r="R169" s="46">
        <f t="shared" si="5"/>
        <v>10</v>
      </c>
    </row>
    <row r="170" spans="1:18" x14ac:dyDescent="0.2">
      <c r="A170" s="36" t="s">
        <v>668</v>
      </c>
      <c r="B170" s="36" t="s">
        <v>669</v>
      </c>
      <c r="C170" s="36" t="s">
        <v>670</v>
      </c>
      <c r="D170" s="40">
        <v>45665</v>
      </c>
      <c r="E170" s="36" t="s">
        <v>671</v>
      </c>
      <c r="F170" s="36" t="s">
        <v>22</v>
      </c>
      <c r="G170" s="36" t="s">
        <v>131</v>
      </c>
      <c r="H170" s="36" t="s">
        <v>30</v>
      </c>
      <c r="I170" s="36" t="s">
        <v>30</v>
      </c>
      <c r="J170" s="36" t="s">
        <v>143</v>
      </c>
      <c r="K170" s="36" t="s">
        <v>102</v>
      </c>
      <c r="L170" s="37">
        <v>397.48</v>
      </c>
      <c r="M170" s="37">
        <v>496.5</v>
      </c>
      <c r="N170" s="37">
        <v>99.02</v>
      </c>
      <c r="O170" s="36" t="s">
        <v>103</v>
      </c>
      <c r="P170" s="36">
        <v>3</v>
      </c>
      <c r="Q170" s="41">
        <f t="shared" si="4"/>
        <v>1.2491194525510716</v>
      </c>
      <c r="R170" s="38">
        <f t="shared" si="5"/>
        <v>0</v>
      </c>
    </row>
    <row r="171" spans="1:18" x14ac:dyDescent="0.2">
      <c r="A171" s="42" t="s">
        <v>672</v>
      </c>
      <c r="B171" s="42" t="s">
        <v>673</v>
      </c>
      <c r="C171" s="42" t="s">
        <v>674</v>
      </c>
      <c r="D171" s="43">
        <v>45970</v>
      </c>
      <c r="E171" s="42" t="s">
        <v>675</v>
      </c>
      <c r="F171" s="42" t="s">
        <v>19</v>
      </c>
      <c r="G171" s="42" t="s">
        <v>100</v>
      </c>
      <c r="H171" s="42" t="s">
        <v>34</v>
      </c>
      <c r="I171" s="42" t="s">
        <v>34</v>
      </c>
      <c r="J171" s="42" t="s">
        <v>188</v>
      </c>
      <c r="K171" s="42" t="s">
        <v>103</v>
      </c>
      <c r="L171" s="44">
        <v>208.69</v>
      </c>
      <c r="M171" s="44">
        <v>196.37</v>
      </c>
      <c r="N171" s="44">
        <v>-12.32</v>
      </c>
      <c r="O171" s="42" t="s">
        <v>103</v>
      </c>
      <c r="P171" s="42">
        <v>2</v>
      </c>
      <c r="Q171" s="45">
        <f t="shared" si="4"/>
        <v>0.94096506780391975</v>
      </c>
      <c r="R171" s="46">
        <f t="shared" si="5"/>
        <v>20</v>
      </c>
    </row>
    <row r="172" spans="1:18" x14ac:dyDescent="0.2">
      <c r="A172" s="36" t="s">
        <v>676</v>
      </c>
      <c r="B172" s="36" t="s">
        <v>248</v>
      </c>
      <c r="C172" s="36" t="s">
        <v>249</v>
      </c>
      <c r="D172" s="40">
        <v>46000</v>
      </c>
      <c r="E172" s="36" t="s">
        <v>677</v>
      </c>
      <c r="F172" s="36" t="s">
        <v>33</v>
      </c>
      <c r="G172" s="36" t="s">
        <v>100</v>
      </c>
      <c r="H172" s="36" t="s">
        <v>34</v>
      </c>
      <c r="I172" s="36" t="s">
        <v>34</v>
      </c>
      <c r="J172" s="36" t="s">
        <v>188</v>
      </c>
      <c r="K172" s="36" t="s">
        <v>102</v>
      </c>
      <c r="L172" s="37">
        <v>491.03</v>
      </c>
      <c r="M172" s="37">
        <v>515.78</v>
      </c>
      <c r="N172" s="37">
        <v>24.75</v>
      </c>
      <c r="O172" s="36" t="s">
        <v>103</v>
      </c>
      <c r="P172" s="36">
        <v>1</v>
      </c>
      <c r="Q172" s="41">
        <f t="shared" si="4"/>
        <v>1.0504042522860111</v>
      </c>
      <c r="R172" s="38">
        <f t="shared" si="5"/>
        <v>0</v>
      </c>
    </row>
    <row r="173" spans="1:18" x14ac:dyDescent="0.2">
      <c r="A173" s="42" t="s">
        <v>678</v>
      </c>
      <c r="B173" s="42" t="s">
        <v>40</v>
      </c>
      <c r="C173" s="42" t="s">
        <v>41</v>
      </c>
      <c r="D173" s="43">
        <v>45854</v>
      </c>
      <c r="E173" s="42" t="s">
        <v>679</v>
      </c>
      <c r="F173" s="42" t="s">
        <v>25</v>
      </c>
      <c r="G173" s="42" t="s">
        <v>120</v>
      </c>
      <c r="H173" s="42" t="s">
        <v>34</v>
      </c>
      <c r="I173" s="42" t="s">
        <v>20</v>
      </c>
      <c r="J173" s="42" t="s">
        <v>183</v>
      </c>
      <c r="K173" s="42" t="s">
        <v>103</v>
      </c>
      <c r="L173" s="44">
        <v>3308.1</v>
      </c>
      <c r="M173" s="44">
        <v>12411.27</v>
      </c>
      <c r="N173" s="44">
        <v>9103.17</v>
      </c>
      <c r="O173" s="42" t="s">
        <v>318</v>
      </c>
      <c r="P173" s="42">
        <v>1</v>
      </c>
      <c r="Q173" s="45">
        <f t="shared" si="4"/>
        <v>3.7517819896617395</v>
      </c>
      <c r="R173" s="46">
        <f t="shared" si="5"/>
        <v>90</v>
      </c>
    </row>
    <row r="174" spans="1:18" x14ac:dyDescent="0.2">
      <c r="A174" s="36" t="s">
        <v>680</v>
      </c>
      <c r="B174" s="36" t="s">
        <v>610</v>
      </c>
      <c r="C174" s="36" t="s">
        <v>611</v>
      </c>
      <c r="D174" s="40">
        <v>45842</v>
      </c>
      <c r="E174" s="36" t="s">
        <v>681</v>
      </c>
      <c r="F174" s="36" t="s">
        <v>19</v>
      </c>
      <c r="G174" s="36" t="s">
        <v>131</v>
      </c>
      <c r="H174" s="36" t="s">
        <v>34</v>
      </c>
      <c r="I174" s="36" t="s">
        <v>34</v>
      </c>
      <c r="J174" s="36" t="s">
        <v>121</v>
      </c>
      <c r="K174" s="36" t="s">
        <v>102</v>
      </c>
      <c r="L174" s="37">
        <v>40.44</v>
      </c>
      <c r="M174" s="37">
        <v>10.52</v>
      </c>
      <c r="N174" s="37">
        <v>-29.92</v>
      </c>
      <c r="O174" s="36" t="s">
        <v>103</v>
      </c>
      <c r="P174" s="36">
        <v>0</v>
      </c>
      <c r="Q174" s="41">
        <f t="shared" si="4"/>
        <v>0.26013847675568746</v>
      </c>
      <c r="R174" s="38">
        <f t="shared" si="5"/>
        <v>0</v>
      </c>
    </row>
    <row r="175" spans="1:18" x14ac:dyDescent="0.2">
      <c r="A175" s="42" t="s">
        <v>682</v>
      </c>
      <c r="B175" s="42" t="s">
        <v>683</v>
      </c>
      <c r="C175" s="42" t="s">
        <v>684</v>
      </c>
      <c r="D175" s="43">
        <v>46009</v>
      </c>
      <c r="E175" s="42" t="s">
        <v>685</v>
      </c>
      <c r="F175" s="42" t="s">
        <v>19</v>
      </c>
      <c r="G175" s="42" t="s">
        <v>126</v>
      </c>
      <c r="H175" s="42" t="s">
        <v>23</v>
      </c>
      <c r="I175" s="42" t="s">
        <v>23</v>
      </c>
      <c r="J175" s="42" t="s">
        <v>101</v>
      </c>
      <c r="K175" s="42" t="s">
        <v>102</v>
      </c>
      <c r="L175" s="44">
        <v>448.61</v>
      </c>
      <c r="M175" s="44">
        <v>694.37</v>
      </c>
      <c r="N175" s="44">
        <v>245.76</v>
      </c>
      <c r="O175" s="42" t="s">
        <v>103</v>
      </c>
      <c r="P175" s="42">
        <v>0</v>
      </c>
      <c r="Q175" s="45">
        <f t="shared" si="4"/>
        <v>1.5478255054501682</v>
      </c>
      <c r="R175" s="46">
        <f t="shared" si="5"/>
        <v>10</v>
      </c>
    </row>
    <row r="176" spans="1:18" x14ac:dyDescent="0.2">
      <c r="A176" s="36" t="s">
        <v>686</v>
      </c>
      <c r="B176" s="36" t="s">
        <v>507</v>
      </c>
      <c r="C176" s="36" t="s">
        <v>508</v>
      </c>
      <c r="D176" s="40">
        <v>45985</v>
      </c>
      <c r="E176" s="36" t="s">
        <v>687</v>
      </c>
      <c r="F176" s="36" t="s">
        <v>33</v>
      </c>
      <c r="G176" s="36" t="s">
        <v>114</v>
      </c>
      <c r="H176" s="36" t="s">
        <v>34</v>
      </c>
      <c r="I176" s="36" t="s">
        <v>34</v>
      </c>
      <c r="J176" s="36" t="s">
        <v>152</v>
      </c>
      <c r="K176" s="36" t="s">
        <v>102</v>
      </c>
      <c r="L176" s="37">
        <v>311.17</v>
      </c>
      <c r="M176" s="37">
        <v>150.01</v>
      </c>
      <c r="N176" s="37">
        <v>-161.16</v>
      </c>
      <c r="O176" s="36" t="s">
        <v>103</v>
      </c>
      <c r="P176" s="36">
        <v>2</v>
      </c>
      <c r="Q176" s="41">
        <f t="shared" si="4"/>
        <v>0.48208374843333218</v>
      </c>
      <c r="R176" s="38">
        <f t="shared" si="5"/>
        <v>0</v>
      </c>
    </row>
    <row r="177" spans="1:18" x14ac:dyDescent="0.2">
      <c r="A177" s="42" t="s">
        <v>688</v>
      </c>
      <c r="B177" s="42" t="s">
        <v>252</v>
      </c>
      <c r="C177" s="42" t="s">
        <v>253</v>
      </c>
      <c r="D177" s="43">
        <v>45890</v>
      </c>
      <c r="E177" s="42" t="s">
        <v>689</v>
      </c>
      <c r="F177" s="42" t="s">
        <v>29</v>
      </c>
      <c r="G177" s="42" t="s">
        <v>108</v>
      </c>
      <c r="H177" s="42" t="s">
        <v>34</v>
      </c>
      <c r="I177" s="42" t="s">
        <v>34</v>
      </c>
      <c r="J177" s="42" t="s">
        <v>152</v>
      </c>
      <c r="K177" s="42" t="s">
        <v>103</v>
      </c>
      <c r="L177" s="44">
        <v>193.08</v>
      </c>
      <c r="M177" s="44">
        <v>298.17</v>
      </c>
      <c r="N177" s="44">
        <v>105.09</v>
      </c>
      <c r="O177" s="42" t="s">
        <v>103</v>
      </c>
      <c r="P177" s="42">
        <v>2</v>
      </c>
      <c r="Q177" s="45">
        <f t="shared" si="4"/>
        <v>1.5442821628340584</v>
      </c>
      <c r="R177" s="46">
        <f t="shared" si="5"/>
        <v>20</v>
      </c>
    </row>
    <row r="178" spans="1:18" x14ac:dyDescent="0.2">
      <c r="A178" s="36" t="s">
        <v>690</v>
      </c>
      <c r="B178" s="36" t="s">
        <v>691</v>
      </c>
      <c r="C178" s="36" t="s">
        <v>692</v>
      </c>
      <c r="D178" s="40">
        <v>46080</v>
      </c>
      <c r="E178" s="36" t="s">
        <v>693</v>
      </c>
      <c r="F178" s="36" t="s">
        <v>22</v>
      </c>
      <c r="G178" s="36" t="s">
        <v>100</v>
      </c>
      <c r="H178" s="36" t="s">
        <v>28</v>
      </c>
      <c r="I178" s="36" t="s">
        <v>28</v>
      </c>
      <c r="J178" s="36" t="s">
        <v>109</v>
      </c>
      <c r="K178" s="36" t="s">
        <v>102</v>
      </c>
      <c r="L178" s="37">
        <v>131.26</v>
      </c>
      <c r="M178" s="37">
        <v>217.95</v>
      </c>
      <c r="N178" s="37">
        <v>86.69</v>
      </c>
      <c r="O178" s="36" t="s">
        <v>103</v>
      </c>
      <c r="P178" s="36">
        <v>0</v>
      </c>
      <c r="Q178" s="41">
        <f t="shared" si="4"/>
        <v>1.6604449184824013</v>
      </c>
      <c r="R178" s="38">
        <f t="shared" si="5"/>
        <v>0</v>
      </c>
    </row>
    <row r="179" spans="1:18" x14ac:dyDescent="0.2">
      <c r="A179" s="42" t="s">
        <v>694</v>
      </c>
      <c r="B179" s="42" t="s">
        <v>384</v>
      </c>
      <c r="C179" s="42" t="s">
        <v>385</v>
      </c>
      <c r="D179" s="43">
        <v>45886</v>
      </c>
      <c r="E179" s="42" t="s">
        <v>695</v>
      </c>
      <c r="F179" s="42" t="s">
        <v>25</v>
      </c>
      <c r="G179" s="42" t="s">
        <v>100</v>
      </c>
      <c r="H179" s="42" t="s">
        <v>34</v>
      </c>
      <c r="I179" s="42" t="s">
        <v>34</v>
      </c>
      <c r="J179" s="42" t="s">
        <v>115</v>
      </c>
      <c r="K179" s="42" t="s">
        <v>102</v>
      </c>
      <c r="L179" s="44">
        <v>187.27</v>
      </c>
      <c r="M179" s="44">
        <v>377.9</v>
      </c>
      <c r="N179" s="44">
        <v>190.63</v>
      </c>
      <c r="O179" s="42" t="s">
        <v>103</v>
      </c>
      <c r="P179" s="42">
        <v>0</v>
      </c>
      <c r="Q179" s="45">
        <f t="shared" si="4"/>
        <v>2.0179420088642064</v>
      </c>
      <c r="R179" s="46">
        <f t="shared" si="5"/>
        <v>10</v>
      </c>
    </row>
    <row r="180" spans="1:18" x14ac:dyDescent="0.2">
      <c r="A180" s="36" t="s">
        <v>696</v>
      </c>
      <c r="B180" s="36" t="s">
        <v>236</v>
      </c>
      <c r="C180" s="36" t="s">
        <v>237</v>
      </c>
      <c r="D180" s="40">
        <v>45916</v>
      </c>
      <c r="E180" s="36" t="s">
        <v>697</v>
      </c>
      <c r="F180" s="36" t="s">
        <v>22</v>
      </c>
      <c r="G180" s="36" t="s">
        <v>108</v>
      </c>
      <c r="H180" s="36" t="s">
        <v>34</v>
      </c>
      <c r="I180" s="36" t="s">
        <v>34</v>
      </c>
      <c r="J180" s="36" t="s">
        <v>188</v>
      </c>
      <c r="K180" s="36" t="s">
        <v>102</v>
      </c>
      <c r="L180" s="37">
        <v>272.95999999999998</v>
      </c>
      <c r="M180" s="37">
        <v>98.81</v>
      </c>
      <c r="N180" s="37">
        <v>-174.15</v>
      </c>
      <c r="O180" s="36" t="s">
        <v>103</v>
      </c>
      <c r="P180" s="36">
        <v>1</v>
      </c>
      <c r="Q180" s="41">
        <f t="shared" si="4"/>
        <v>0.36199443141852289</v>
      </c>
      <c r="R180" s="38">
        <f t="shared" si="5"/>
        <v>0</v>
      </c>
    </row>
    <row r="181" spans="1:18" x14ac:dyDescent="0.2">
      <c r="A181" s="42" t="s">
        <v>698</v>
      </c>
      <c r="B181" s="42" t="s">
        <v>499</v>
      </c>
      <c r="C181" s="42" t="s">
        <v>500</v>
      </c>
      <c r="D181" s="43">
        <v>45717</v>
      </c>
      <c r="E181" s="42" t="s">
        <v>699</v>
      </c>
      <c r="F181" s="42" t="s">
        <v>31</v>
      </c>
      <c r="G181" s="42" t="s">
        <v>114</v>
      </c>
      <c r="H181" s="42" t="s">
        <v>34</v>
      </c>
      <c r="I181" s="42" t="s">
        <v>34</v>
      </c>
      <c r="J181" s="42" t="s">
        <v>121</v>
      </c>
      <c r="K181" s="42" t="s">
        <v>103</v>
      </c>
      <c r="L181" s="44">
        <v>361.29</v>
      </c>
      <c r="M181" s="44">
        <v>388.54</v>
      </c>
      <c r="N181" s="44">
        <v>27.25</v>
      </c>
      <c r="O181" s="42" t="s">
        <v>103</v>
      </c>
      <c r="P181" s="42">
        <v>0</v>
      </c>
      <c r="Q181" s="45">
        <f t="shared" si="4"/>
        <v>1.0754241744858701</v>
      </c>
      <c r="R181" s="46">
        <f t="shared" si="5"/>
        <v>20</v>
      </c>
    </row>
    <row r="182" spans="1:18" x14ac:dyDescent="0.2">
      <c r="A182" s="36" t="s">
        <v>700</v>
      </c>
      <c r="B182" s="36" t="s">
        <v>52</v>
      </c>
      <c r="C182" s="36" t="s">
        <v>53</v>
      </c>
      <c r="D182" s="40">
        <v>45890</v>
      </c>
      <c r="E182" s="36" t="s">
        <v>701</v>
      </c>
      <c r="F182" s="36" t="s">
        <v>19</v>
      </c>
      <c r="G182" s="36" t="s">
        <v>126</v>
      </c>
      <c r="H182" s="36" t="s">
        <v>32</v>
      </c>
      <c r="I182" s="36" t="s">
        <v>30</v>
      </c>
      <c r="J182" s="36" t="s">
        <v>101</v>
      </c>
      <c r="K182" s="36" t="s">
        <v>102</v>
      </c>
      <c r="L182" s="37">
        <v>5696.81</v>
      </c>
      <c r="M182" s="37">
        <v>20602.36</v>
      </c>
      <c r="N182" s="37">
        <v>14905.55</v>
      </c>
      <c r="O182" s="36" t="s">
        <v>318</v>
      </c>
      <c r="P182" s="36">
        <v>1</v>
      </c>
      <c r="Q182" s="41">
        <f t="shared" si="4"/>
        <v>3.6164730787932191</v>
      </c>
      <c r="R182" s="38">
        <f t="shared" si="5"/>
        <v>80</v>
      </c>
    </row>
    <row r="183" spans="1:18" x14ac:dyDescent="0.2">
      <c r="A183" s="42" t="s">
        <v>702</v>
      </c>
      <c r="B183" s="42" t="s">
        <v>123</v>
      </c>
      <c r="C183" s="42" t="s">
        <v>124</v>
      </c>
      <c r="D183" s="43">
        <v>45860</v>
      </c>
      <c r="E183" s="42" t="s">
        <v>703</v>
      </c>
      <c r="F183" s="42" t="s">
        <v>25</v>
      </c>
      <c r="G183" s="42" t="s">
        <v>100</v>
      </c>
      <c r="H183" s="42" t="s">
        <v>34</v>
      </c>
      <c r="I183" s="42" t="s">
        <v>34</v>
      </c>
      <c r="J183" s="42" t="s">
        <v>121</v>
      </c>
      <c r="K183" s="42" t="s">
        <v>102</v>
      </c>
      <c r="L183" s="44">
        <v>11.48</v>
      </c>
      <c r="M183" s="44">
        <v>5.5</v>
      </c>
      <c r="N183" s="44">
        <v>-5.98</v>
      </c>
      <c r="O183" s="42" t="s">
        <v>103</v>
      </c>
      <c r="P183" s="42">
        <v>0</v>
      </c>
      <c r="Q183" s="45">
        <f t="shared" si="4"/>
        <v>0.47909407665505227</v>
      </c>
      <c r="R183" s="46">
        <f t="shared" si="5"/>
        <v>0</v>
      </c>
    </row>
    <row r="184" spans="1:18" x14ac:dyDescent="0.2">
      <c r="A184" s="36" t="s">
        <v>704</v>
      </c>
      <c r="B184" s="36" t="s">
        <v>431</v>
      </c>
      <c r="C184" s="36" t="s">
        <v>432</v>
      </c>
      <c r="D184" s="40">
        <v>45834</v>
      </c>
      <c r="E184" s="36" t="s">
        <v>705</v>
      </c>
      <c r="F184" s="36" t="s">
        <v>25</v>
      </c>
      <c r="G184" s="36" t="s">
        <v>114</v>
      </c>
      <c r="H184" s="36" t="s">
        <v>26</v>
      </c>
      <c r="I184" s="36" t="s">
        <v>26</v>
      </c>
      <c r="J184" s="36" t="s">
        <v>303</v>
      </c>
      <c r="K184" s="36" t="s">
        <v>103</v>
      </c>
      <c r="L184" s="37">
        <v>275.17</v>
      </c>
      <c r="M184" s="37">
        <v>36.479999999999997</v>
      </c>
      <c r="N184" s="37">
        <v>-238.69</v>
      </c>
      <c r="O184" s="36" t="s">
        <v>103</v>
      </c>
      <c r="P184" s="36">
        <v>1</v>
      </c>
      <c r="Q184" s="41">
        <f t="shared" si="4"/>
        <v>0.13257259148889775</v>
      </c>
      <c r="R184" s="38">
        <f t="shared" si="5"/>
        <v>20</v>
      </c>
    </row>
    <row r="185" spans="1:18" x14ac:dyDescent="0.2">
      <c r="A185" s="42" t="s">
        <v>706</v>
      </c>
      <c r="B185" s="42" t="s">
        <v>707</v>
      </c>
      <c r="C185" s="42" t="s">
        <v>708</v>
      </c>
      <c r="D185" s="43">
        <v>45804</v>
      </c>
      <c r="E185" s="42" t="s">
        <v>147</v>
      </c>
      <c r="F185" s="42" t="s">
        <v>27</v>
      </c>
      <c r="G185" s="42" t="s">
        <v>126</v>
      </c>
      <c r="H185" s="42" t="s">
        <v>34</v>
      </c>
      <c r="I185" s="42" t="s">
        <v>34</v>
      </c>
      <c r="J185" s="42" t="s">
        <v>152</v>
      </c>
      <c r="K185" s="42" t="s">
        <v>102</v>
      </c>
      <c r="L185" s="44">
        <v>386.8</v>
      </c>
      <c r="M185" s="44">
        <v>651.69000000000005</v>
      </c>
      <c r="N185" s="44">
        <v>264.89</v>
      </c>
      <c r="O185" s="42" t="s">
        <v>103</v>
      </c>
      <c r="P185" s="42">
        <v>0</v>
      </c>
      <c r="Q185" s="45">
        <f t="shared" si="4"/>
        <v>1.6848241985522234</v>
      </c>
      <c r="R185" s="46">
        <f t="shared" si="5"/>
        <v>10</v>
      </c>
    </row>
    <row r="186" spans="1:18" x14ac:dyDescent="0.2">
      <c r="A186" s="36" t="s">
        <v>709</v>
      </c>
      <c r="B186" s="36" t="s">
        <v>571</v>
      </c>
      <c r="C186" s="36" t="s">
        <v>572</v>
      </c>
      <c r="D186" s="40">
        <v>45849</v>
      </c>
      <c r="E186" s="36" t="s">
        <v>710</v>
      </c>
      <c r="F186" s="36" t="s">
        <v>29</v>
      </c>
      <c r="G186" s="36" t="s">
        <v>100</v>
      </c>
      <c r="H186" s="36" t="s">
        <v>34</v>
      </c>
      <c r="I186" s="36" t="s">
        <v>34</v>
      </c>
      <c r="J186" s="36" t="s">
        <v>188</v>
      </c>
      <c r="K186" s="36" t="s">
        <v>103</v>
      </c>
      <c r="L186" s="37">
        <v>436.11</v>
      </c>
      <c r="M186" s="37">
        <v>869.99</v>
      </c>
      <c r="N186" s="37">
        <v>433.88</v>
      </c>
      <c r="O186" s="36" t="s">
        <v>103</v>
      </c>
      <c r="P186" s="36">
        <v>0</v>
      </c>
      <c r="Q186" s="41">
        <f t="shared" si="4"/>
        <v>1.9948866111760795</v>
      </c>
      <c r="R186" s="38">
        <f t="shared" si="5"/>
        <v>20</v>
      </c>
    </row>
    <row r="187" spans="1:18" x14ac:dyDescent="0.2">
      <c r="A187" s="42" t="s">
        <v>711</v>
      </c>
      <c r="B187" s="42" t="s">
        <v>336</v>
      </c>
      <c r="C187" s="42" t="s">
        <v>337</v>
      </c>
      <c r="D187" s="43">
        <v>45996</v>
      </c>
      <c r="E187" s="42" t="s">
        <v>712</v>
      </c>
      <c r="F187" s="42" t="s">
        <v>33</v>
      </c>
      <c r="G187" s="42" t="s">
        <v>108</v>
      </c>
      <c r="H187" s="42" t="s">
        <v>34</v>
      </c>
      <c r="I187" s="42" t="s">
        <v>34</v>
      </c>
      <c r="J187" s="42" t="s">
        <v>121</v>
      </c>
      <c r="K187" s="42" t="s">
        <v>103</v>
      </c>
      <c r="L187" s="44">
        <v>330.23</v>
      </c>
      <c r="M187" s="44">
        <v>252.66</v>
      </c>
      <c r="N187" s="44">
        <v>-77.569999999999993</v>
      </c>
      <c r="O187" s="42" t="s">
        <v>103</v>
      </c>
      <c r="P187" s="42">
        <v>0</v>
      </c>
      <c r="Q187" s="45">
        <f t="shared" si="4"/>
        <v>0.76510310995366859</v>
      </c>
      <c r="R187" s="46">
        <f t="shared" si="5"/>
        <v>20</v>
      </c>
    </row>
    <row r="188" spans="1:18" x14ac:dyDescent="0.2">
      <c r="A188" s="36" t="s">
        <v>713</v>
      </c>
      <c r="B188" s="36" t="s">
        <v>714</v>
      </c>
      <c r="C188" s="36" t="s">
        <v>715</v>
      </c>
      <c r="D188" s="40">
        <v>45928</v>
      </c>
      <c r="E188" s="36" t="s">
        <v>716</v>
      </c>
      <c r="F188" s="36" t="s">
        <v>22</v>
      </c>
      <c r="G188" s="36" t="s">
        <v>100</v>
      </c>
      <c r="H188" s="36" t="s">
        <v>34</v>
      </c>
      <c r="I188" s="36" t="s">
        <v>34</v>
      </c>
      <c r="J188" s="36" t="s">
        <v>115</v>
      </c>
      <c r="K188" s="36" t="s">
        <v>102</v>
      </c>
      <c r="L188" s="37">
        <v>489.57</v>
      </c>
      <c r="M188" s="37">
        <v>899.15</v>
      </c>
      <c r="N188" s="37">
        <v>409.58</v>
      </c>
      <c r="O188" s="36" t="s">
        <v>103</v>
      </c>
      <c r="P188" s="36">
        <v>1</v>
      </c>
      <c r="Q188" s="41">
        <f t="shared" si="4"/>
        <v>1.836611720489409</v>
      </c>
      <c r="R188" s="38">
        <f t="shared" si="5"/>
        <v>0</v>
      </c>
    </row>
    <row r="189" spans="1:18" x14ac:dyDescent="0.2">
      <c r="A189" s="42" t="s">
        <v>717</v>
      </c>
      <c r="B189" s="42" t="s">
        <v>111</v>
      </c>
      <c r="C189" s="42" t="s">
        <v>112</v>
      </c>
      <c r="D189" s="43">
        <v>45895</v>
      </c>
      <c r="E189" s="42" t="s">
        <v>718</v>
      </c>
      <c r="F189" s="42" t="s">
        <v>22</v>
      </c>
      <c r="G189" s="42" t="s">
        <v>131</v>
      </c>
      <c r="H189" s="42" t="s">
        <v>34</v>
      </c>
      <c r="I189" s="42" t="s">
        <v>34</v>
      </c>
      <c r="J189" s="42" t="s">
        <v>115</v>
      </c>
      <c r="K189" s="42" t="s">
        <v>102</v>
      </c>
      <c r="L189" s="44">
        <v>276.77999999999997</v>
      </c>
      <c r="M189" s="44">
        <v>323.89999999999998</v>
      </c>
      <c r="N189" s="44">
        <v>47.12</v>
      </c>
      <c r="O189" s="42" t="s">
        <v>103</v>
      </c>
      <c r="P189" s="42">
        <v>2</v>
      </c>
      <c r="Q189" s="45">
        <f t="shared" si="4"/>
        <v>1.1702435147048198</v>
      </c>
      <c r="R189" s="46">
        <f t="shared" si="5"/>
        <v>0</v>
      </c>
    </row>
    <row r="190" spans="1:18" x14ac:dyDescent="0.2">
      <c r="A190" s="36" t="s">
        <v>719</v>
      </c>
      <c r="B190" s="36" t="s">
        <v>720</v>
      </c>
      <c r="C190" s="36" t="s">
        <v>721</v>
      </c>
      <c r="D190" s="40">
        <v>45893</v>
      </c>
      <c r="E190" s="36" t="s">
        <v>722</v>
      </c>
      <c r="F190" s="36" t="s">
        <v>27</v>
      </c>
      <c r="G190" s="36" t="s">
        <v>100</v>
      </c>
      <c r="H190" s="36" t="s">
        <v>34</v>
      </c>
      <c r="I190" s="36" t="s">
        <v>34</v>
      </c>
      <c r="J190" s="36" t="s">
        <v>121</v>
      </c>
      <c r="K190" s="36" t="s">
        <v>102</v>
      </c>
      <c r="L190" s="37">
        <v>145.07</v>
      </c>
      <c r="M190" s="37">
        <v>299.18</v>
      </c>
      <c r="N190" s="37">
        <v>154.11000000000001</v>
      </c>
      <c r="O190" s="36" t="s">
        <v>103</v>
      </c>
      <c r="P190" s="36">
        <v>0</v>
      </c>
      <c r="Q190" s="41">
        <f t="shared" si="4"/>
        <v>2.0623147446060526</v>
      </c>
      <c r="R190" s="38">
        <f t="shared" si="5"/>
        <v>10</v>
      </c>
    </row>
    <row r="191" spans="1:18" x14ac:dyDescent="0.2">
      <c r="A191" s="42" t="s">
        <v>723</v>
      </c>
      <c r="B191" s="42" t="s">
        <v>707</v>
      </c>
      <c r="C191" s="42" t="s">
        <v>708</v>
      </c>
      <c r="D191" s="43">
        <v>46072</v>
      </c>
      <c r="E191" s="42" t="s">
        <v>724</v>
      </c>
      <c r="F191" s="42" t="s">
        <v>25</v>
      </c>
      <c r="G191" s="42" t="s">
        <v>131</v>
      </c>
      <c r="H191" s="42" t="s">
        <v>34</v>
      </c>
      <c r="I191" s="42" t="s">
        <v>34</v>
      </c>
      <c r="J191" s="42" t="s">
        <v>152</v>
      </c>
      <c r="K191" s="42" t="s">
        <v>102</v>
      </c>
      <c r="L191" s="44">
        <v>311.31</v>
      </c>
      <c r="M191" s="44">
        <v>641.21</v>
      </c>
      <c r="N191" s="44">
        <v>329.9</v>
      </c>
      <c r="O191" s="42" t="s">
        <v>103</v>
      </c>
      <c r="P191" s="42">
        <v>0</v>
      </c>
      <c r="Q191" s="45">
        <f t="shared" si="4"/>
        <v>2.0597153962288397</v>
      </c>
      <c r="R191" s="46">
        <f t="shared" si="5"/>
        <v>10</v>
      </c>
    </row>
    <row r="192" spans="1:18" x14ac:dyDescent="0.2">
      <c r="A192" s="36" t="s">
        <v>725</v>
      </c>
      <c r="B192" s="36" t="s">
        <v>726</v>
      </c>
      <c r="C192" s="36" t="s">
        <v>727</v>
      </c>
      <c r="D192" s="40">
        <v>45692</v>
      </c>
      <c r="E192" s="36" t="s">
        <v>728</v>
      </c>
      <c r="F192" s="36" t="s">
        <v>27</v>
      </c>
      <c r="G192" s="36" t="s">
        <v>100</v>
      </c>
      <c r="H192" s="36" t="s">
        <v>34</v>
      </c>
      <c r="I192" s="36" t="s">
        <v>34</v>
      </c>
      <c r="J192" s="36" t="s">
        <v>115</v>
      </c>
      <c r="K192" s="36" t="s">
        <v>102</v>
      </c>
      <c r="L192" s="37">
        <v>26.45</v>
      </c>
      <c r="M192" s="37">
        <v>34.79</v>
      </c>
      <c r="N192" s="37">
        <v>8.34</v>
      </c>
      <c r="O192" s="36" t="s">
        <v>103</v>
      </c>
      <c r="P192" s="36">
        <v>0</v>
      </c>
      <c r="Q192" s="41">
        <f t="shared" si="4"/>
        <v>1.3153119092627599</v>
      </c>
      <c r="R192" s="38">
        <f t="shared" si="5"/>
        <v>0</v>
      </c>
    </row>
    <row r="193" spans="1:18" x14ac:dyDescent="0.2">
      <c r="A193" s="42" t="s">
        <v>729</v>
      </c>
      <c r="B193" s="42" t="s">
        <v>202</v>
      </c>
      <c r="C193" s="42" t="s">
        <v>203</v>
      </c>
      <c r="D193" s="43">
        <v>46037</v>
      </c>
      <c r="E193" s="42" t="s">
        <v>419</v>
      </c>
      <c r="F193" s="42" t="s">
        <v>22</v>
      </c>
      <c r="G193" s="42" t="s">
        <v>100</v>
      </c>
      <c r="H193" s="42" t="s">
        <v>34</v>
      </c>
      <c r="I193" s="42" t="s">
        <v>34</v>
      </c>
      <c r="J193" s="42" t="s">
        <v>152</v>
      </c>
      <c r="K193" s="42" t="s">
        <v>103</v>
      </c>
      <c r="L193" s="44">
        <v>225.09</v>
      </c>
      <c r="M193" s="44">
        <v>267.29000000000002</v>
      </c>
      <c r="N193" s="44">
        <v>42.2</v>
      </c>
      <c r="O193" s="42" t="s">
        <v>103</v>
      </c>
      <c r="P193" s="42">
        <v>0</v>
      </c>
      <c r="Q193" s="45">
        <f t="shared" si="4"/>
        <v>1.1874805633302234</v>
      </c>
      <c r="R193" s="46">
        <f t="shared" si="5"/>
        <v>20</v>
      </c>
    </row>
    <row r="194" spans="1:18" x14ac:dyDescent="0.2">
      <c r="A194" s="36" t="s">
        <v>730</v>
      </c>
      <c r="B194" s="36" t="s">
        <v>731</v>
      </c>
      <c r="C194" s="36" t="s">
        <v>732</v>
      </c>
      <c r="D194" s="40">
        <v>45915</v>
      </c>
      <c r="E194" s="36" t="s">
        <v>733</v>
      </c>
      <c r="F194" s="36" t="s">
        <v>19</v>
      </c>
      <c r="G194" s="36" t="s">
        <v>108</v>
      </c>
      <c r="H194" s="36" t="s">
        <v>34</v>
      </c>
      <c r="I194" s="36" t="s">
        <v>34</v>
      </c>
      <c r="J194" s="36" t="s">
        <v>121</v>
      </c>
      <c r="K194" s="36" t="s">
        <v>102</v>
      </c>
      <c r="L194" s="37">
        <v>409.74</v>
      </c>
      <c r="M194" s="37">
        <v>659.41</v>
      </c>
      <c r="N194" s="37">
        <v>249.67</v>
      </c>
      <c r="O194" s="36" t="s">
        <v>103</v>
      </c>
      <c r="P194" s="36">
        <v>1</v>
      </c>
      <c r="Q194" s="41">
        <f t="shared" ref="Q194:Q257" si="6">IF(L194=0,0,M194/L194)</f>
        <v>1.6093376287401766</v>
      </c>
      <c r="R194" s="38">
        <f t="shared" ref="R194:R257" si="7">IF(O194="YES",30,0)+IF(Q194&gt;3,25,IF(Q194&gt;2,10,0))+IF(K194="No",20,0)+IF(L194&gt;1000,15,IF(L194&gt;500,7,0))+IF(G194="Unknown-Device",10,0)</f>
        <v>0</v>
      </c>
    </row>
    <row r="195" spans="1:18" x14ac:dyDescent="0.2">
      <c r="A195" s="42" t="s">
        <v>734</v>
      </c>
      <c r="B195" s="42" t="s">
        <v>735</v>
      </c>
      <c r="C195" s="42" t="s">
        <v>736</v>
      </c>
      <c r="D195" s="43">
        <v>46053</v>
      </c>
      <c r="E195" s="42" t="s">
        <v>737</v>
      </c>
      <c r="F195" s="42" t="s">
        <v>33</v>
      </c>
      <c r="G195" s="42" t="s">
        <v>126</v>
      </c>
      <c r="H195" s="42" t="s">
        <v>30</v>
      </c>
      <c r="I195" s="42" t="s">
        <v>30</v>
      </c>
      <c r="J195" s="42" t="s">
        <v>143</v>
      </c>
      <c r="K195" s="42" t="s">
        <v>102</v>
      </c>
      <c r="L195" s="44">
        <v>167.13</v>
      </c>
      <c r="M195" s="44">
        <v>110.95</v>
      </c>
      <c r="N195" s="44">
        <v>-56.18</v>
      </c>
      <c r="O195" s="42" t="s">
        <v>103</v>
      </c>
      <c r="P195" s="42">
        <v>0</v>
      </c>
      <c r="Q195" s="45">
        <f t="shared" si="6"/>
        <v>0.66385448453299833</v>
      </c>
      <c r="R195" s="46">
        <f t="shared" si="7"/>
        <v>10</v>
      </c>
    </row>
    <row r="196" spans="1:18" x14ac:dyDescent="0.2">
      <c r="A196" s="36" t="s">
        <v>738</v>
      </c>
      <c r="B196" s="36" t="s">
        <v>360</v>
      </c>
      <c r="C196" s="36" t="s">
        <v>361</v>
      </c>
      <c r="D196" s="40">
        <v>45771</v>
      </c>
      <c r="E196" s="36" t="s">
        <v>739</v>
      </c>
      <c r="F196" s="36" t="s">
        <v>31</v>
      </c>
      <c r="G196" s="36" t="s">
        <v>126</v>
      </c>
      <c r="H196" s="36" t="s">
        <v>26</v>
      </c>
      <c r="I196" s="36" t="s">
        <v>26</v>
      </c>
      <c r="J196" s="36" t="s">
        <v>303</v>
      </c>
      <c r="K196" s="36" t="s">
        <v>102</v>
      </c>
      <c r="L196" s="37">
        <v>144.83000000000001</v>
      </c>
      <c r="M196" s="37">
        <v>177.38</v>
      </c>
      <c r="N196" s="37">
        <v>32.549999999999997</v>
      </c>
      <c r="O196" s="36" t="s">
        <v>103</v>
      </c>
      <c r="P196" s="36">
        <v>0</v>
      </c>
      <c r="Q196" s="41">
        <f t="shared" si="6"/>
        <v>1.2247462542290961</v>
      </c>
      <c r="R196" s="38">
        <f t="shared" si="7"/>
        <v>10</v>
      </c>
    </row>
    <row r="197" spans="1:18" x14ac:dyDescent="0.2">
      <c r="A197" s="42" t="s">
        <v>740</v>
      </c>
      <c r="B197" s="42" t="s">
        <v>673</v>
      </c>
      <c r="C197" s="42" t="s">
        <v>674</v>
      </c>
      <c r="D197" s="43">
        <v>45978</v>
      </c>
      <c r="E197" s="42" t="s">
        <v>741</v>
      </c>
      <c r="F197" s="42" t="s">
        <v>19</v>
      </c>
      <c r="G197" s="42" t="s">
        <v>126</v>
      </c>
      <c r="H197" s="42" t="s">
        <v>34</v>
      </c>
      <c r="I197" s="42" t="s">
        <v>34</v>
      </c>
      <c r="J197" s="42" t="s">
        <v>188</v>
      </c>
      <c r="K197" s="42" t="s">
        <v>103</v>
      </c>
      <c r="L197" s="44">
        <v>282.37</v>
      </c>
      <c r="M197" s="44">
        <v>29.13</v>
      </c>
      <c r="N197" s="44">
        <v>-253.24</v>
      </c>
      <c r="O197" s="42" t="s">
        <v>103</v>
      </c>
      <c r="P197" s="42">
        <v>2</v>
      </c>
      <c r="Q197" s="45">
        <f t="shared" si="6"/>
        <v>0.10316251726458192</v>
      </c>
      <c r="R197" s="46">
        <f t="shared" si="7"/>
        <v>30</v>
      </c>
    </row>
    <row r="198" spans="1:18" x14ac:dyDescent="0.2">
      <c r="A198" s="36" t="s">
        <v>742</v>
      </c>
      <c r="B198" s="36" t="s">
        <v>743</v>
      </c>
      <c r="C198" s="36" t="s">
        <v>744</v>
      </c>
      <c r="D198" s="40">
        <v>45853</v>
      </c>
      <c r="E198" s="36" t="s">
        <v>745</v>
      </c>
      <c r="F198" s="36" t="s">
        <v>19</v>
      </c>
      <c r="G198" s="36" t="s">
        <v>114</v>
      </c>
      <c r="H198" s="36" t="s">
        <v>34</v>
      </c>
      <c r="I198" s="36" t="s">
        <v>34</v>
      </c>
      <c r="J198" s="36" t="s">
        <v>121</v>
      </c>
      <c r="K198" s="36" t="s">
        <v>103</v>
      </c>
      <c r="L198" s="37">
        <v>351.19</v>
      </c>
      <c r="M198" s="37">
        <v>315.43</v>
      </c>
      <c r="N198" s="37">
        <v>-35.76</v>
      </c>
      <c r="O198" s="36" t="s">
        <v>103</v>
      </c>
      <c r="P198" s="36">
        <v>2</v>
      </c>
      <c r="Q198" s="41">
        <f t="shared" si="6"/>
        <v>0.89817477718613858</v>
      </c>
      <c r="R198" s="38">
        <f t="shared" si="7"/>
        <v>20</v>
      </c>
    </row>
    <row r="199" spans="1:18" x14ac:dyDescent="0.2">
      <c r="A199" s="42" t="s">
        <v>746</v>
      </c>
      <c r="B199" s="42" t="s">
        <v>669</v>
      </c>
      <c r="C199" s="42" t="s">
        <v>670</v>
      </c>
      <c r="D199" s="43">
        <v>46044</v>
      </c>
      <c r="E199" s="42" t="s">
        <v>747</v>
      </c>
      <c r="F199" s="42" t="s">
        <v>22</v>
      </c>
      <c r="G199" s="42" t="s">
        <v>126</v>
      </c>
      <c r="H199" s="42" t="s">
        <v>30</v>
      </c>
      <c r="I199" s="42" t="s">
        <v>30</v>
      </c>
      <c r="J199" s="42" t="s">
        <v>143</v>
      </c>
      <c r="K199" s="42" t="s">
        <v>102</v>
      </c>
      <c r="L199" s="44">
        <v>128.07</v>
      </c>
      <c r="M199" s="44">
        <v>63.49</v>
      </c>
      <c r="N199" s="44">
        <v>-64.58</v>
      </c>
      <c r="O199" s="42" t="s">
        <v>103</v>
      </c>
      <c r="P199" s="42">
        <v>3</v>
      </c>
      <c r="Q199" s="45">
        <f t="shared" si="6"/>
        <v>0.49574451471851333</v>
      </c>
      <c r="R199" s="46">
        <f t="shared" si="7"/>
        <v>10</v>
      </c>
    </row>
    <row r="200" spans="1:18" x14ac:dyDescent="0.2">
      <c r="A200" s="36" t="s">
        <v>748</v>
      </c>
      <c r="B200" s="36" t="s">
        <v>559</v>
      </c>
      <c r="C200" s="36" t="s">
        <v>560</v>
      </c>
      <c r="D200" s="40">
        <v>46070</v>
      </c>
      <c r="E200" s="36" t="s">
        <v>749</v>
      </c>
      <c r="F200" s="36" t="s">
        <v>29</v>
      </c>
      <c r="G200" s="36" t="s">
        <v>108</v>
      </c>
      <c r="H200" s="36" t="s">
        <v>34</v>
      </c>
      <c r="I200" s="36" t="s">
        <v>34</v>
      </c>
      <c r="J200" s="36" t="s">
        <v>152</v>
      </c>
      <c r="K200" s="36" t="s">
        <v>102</v>
      </c>
      <c r="L200" s="37">
        <v>38.24</v>
      </c>
      <c r="M200" s="37">
        <v>34.72</v>
      </c>
      <c r="N200" s="37">
        <v>-3.52</v>
      </c>
      <c r="O200" s="36" t="s">
        <v>103</v>
      </c>
      <c r="P200" s="36">
        <v>0</v>
      </c>
      <c r="Q200" s="41">
        <f t="shared" si="6"/>
        <v>0.90794979079497895</v>
      </c>
      <c r="R200" s="38">
        <f t="shared" si="7"/>
        <v>0</v>
      </c>
    </row>
    <row r="201" spans="1:18" x14ac:dyDescent="0.2">
      <c r="A201" s="42" t="s">
        <v>750</v>
      </c>
      <c r="B201" s="42" t="s">
        <v>751</v>
      </c>
      <c r="C201" s="42" t="s">
        <v>752</v>
      </c>
      <c r="D201" s="43">
        <v>45726</v>
      </c>
      <c r="E201" s="42" t="s">
        <v>753</v>
      </c>
      <c r="F201" s="42" t="s">
        <v>25</v>
      </c>
      <c r="G201" s="42" t="s">
        <v>114</v>
      </c>
      <c r="H201" s="42" t="s">
        <v>34</v>
      </c>
      <c r="I201" s="42" t="s">
        <v>34</v>
      </c>
      <c r="J201" s="42" t="s">
        <v>121</v>
      </c>
      <c r="K201" s="42" t="s">
        <v>102</v>
      </c>
      <c r="L201" s="44">
        <v>134.94999999999999</v>
      </c>
      <c r="M201" s="44">
        <v>98.05</v>
      </c>
      <c r="N201" s="44">
        <v>-36.9</v>
      </c>
      <c r="O201" s="42" t="s">
        <v>103</v>
      </c>
      <c r="P201" s="42">
        <v>0</v>
      </c>
      <c r="Q201" s="45">
        <f t="shared" si="6"/>
        <v>0.72656539459058911</v>
      </c>
      <c r="R201" s="46">
        <f t="shared" si="7"/>
        <v>0</v>
      </c>
    </row>
    <row r="202" spans="1:18" x14ac:dyDescent="0.2">
      <c r="A202" s="36" t="s">
        <v>754</v>
      </c>
      <c r="B202" s="36" t="s">
        <v>284</v>
      </c>
      <c r="C202" s="36" t="s">
        <v>285</v>
      </c>
      <c r="D202" s="40">
        <v>45705</v>
      </c>
      <c r="E202" s="36" t="s">
        <v>755</v>
      </c>
      <c r="F202" s="36" t="s">
        <v>29</v>
      </c>
      <c r="G202" s="36" t="s">
        <v>126</v>
      </c>
      <c r="H202" s="36" t="s">
        <v>34</v>
      </c>
      <c r="I202" s="36" t="s">
        <v>34</v>
      </c>
      <c r="J202" s="36" t="s">
        <v>121</v>
      </c>
      <c r="K202" s="36" t="s">
        <v>103</v>
      </c>
      <c r="L202" s="37">
        <v>416.41</v>
      </c>
      <c r="M202" s="37">
        <v>47.21</v>
      </c>
      <c r="N202" s="37">
        <v>-369.2</v>
      </c>
      <c r="O202" s="36" t="s">
        <v>103</v>
      </c>
      <c r="P202" s="36">
        <v>0</v>
      </c>
      <c r="Q202" s="41">
        <f t="shared" si="6"/>
        <v>0.11337383828438317</v>
      </c>
      <c r="R202" s="38">
        <f t="shared" si="7"/>
        <v>30</v>
      </c>
    </row>
    <row r="203" spans="1:18" x14ac:dyDescent="0.2">
      <c r="A203" s="42" t="s">
        <v>756</v>
      </c>
      <c r="B203" s="42" t="s">
        <v>240</v>
      </c>
      <c r="C203" s="42" t="s">
        <v>241</v>
      </c>
      <c r="D203" s="43">
        <v>45966</v>
      </c>
      <c r="E203" s="42" t="s">
        <v>757</v>
      </c>
      <c r="F203" s="42" t="s">
        <v>31</v>
      </c>
      <c r="G203" s="42" t="s">
        <v>126</v>
      </c>
      <c r="H203" s="42" t="s">
        <v>28</v>
      </c>
      <c r="I203" s="42" t="s">
        <v>28</v>
      </c>
      <c r="J203" s="42" t="s">
        <v>109</v>
      </c>
      <c r="K203" s="42" t="s">
        <v>102</v>
      </c>
      <c r="L203" s="44">
        <v>45.66</v>
      </c>
      <c r="M203" s="44">
        <v>80.83</v>
      </c>
      <c r="N203" s="44">
        <v>35.17</v>
      </c>
      <c r="O203" s="42" t="s">
        <v>103</v>
      </c>
      <c r="P203" s="42">
        <v>0</v>
      </c>
      <c r="Q203" s="45">
        <f t="shared" si="6"/>
        <v>1.7702584318878669</v>
      </c>
      <c r="R203" s="46">
        <f t="shared" si="7"/>
        <v>10</v>
      </c>
    </row>
    <row r="204" spans="1:18" x14ac:dyDescent="0.2">
      <c r="A204" s="36" t="s">
        <v>758</v>
      </c>
      <c r="B204" s="36" t="s">
        <v>743</v>
      </c>
      <c r="C204" s="36" t="s">
        <v>744</v>
      </c>
      <c r="D204" s="40">
        <v>45944</v>
      </c>
      <c r="E204" s="36" t="s">
        <v>759</v>
      </c>
      <c r="F204" s="36" t="s">
        <v>19</v>
      </c>
      <c r="G204" s="36" t="s">
        <v>100</v>
      </c>
      <c r="H204" s="36" t="s">
        <v>34</v>
      </c>
      <c r="I204" s="36" t="s">
        <v>34</v>
      </c>
      <c r="J204" s="36" t="s">
        <v>121</v>
      </c>
      <c r="K204" s="36" t="s">
        <v>103</v>
      </c>
      <c r="L204" s="37">
        <v>112.36</v>
      </c>
      <c r="M204" s="37">
        <v>224.21</v>
      </c>
      <c r="N204" s="37">
        <v>111.85</v>
      </c>
      <c r="O204" s="36" t="s">
        <v>103</v>
      </c>
      <c r="P204" s="36">
        <v>2</v>
      </c>
      <c r="Q204" s="41">
        <f t="shared" si="6"/>
        <v>1.9954610181559274</v>
      </c>
      <c r="R204" s="38">
        <f t="shared" si="7"/>
        <v>20</v>
      </c>
    </row>
    <row r="205" spans="1:18" x14ac:dyDescent="0.2">
      <c r="A205" s="42" t="s">
        <v>760</v>
      </c>
      <c r="B205" s="42" t="s">
        <v>761</v>
      </c>
      <c r="C205" s="42" t="s">
        <v>762</v>
      </c>
      <c r="D205" s="43">
        <v>45755</v>
      </c>
      <c r="E205" s="42" t="s">
        <v>763</v>
      </c>
      <c r="F205" s="42" t="s">
        <v>33</v>
      </c>
      <c r="G205" s="42" t="s">
        <v>126</v>
      </c>
      <c r="H205" s="42" t="s">
        <v>34</v>
      </c>
      <c r="I205" s="42" t="s">
        <v>34</v>
      </c>
      <c r="J205" s="42" t="s">
        <v>152</v>
      </c>
      <c r="K205" s="42" t="s">
        <v>102</v>
      </c>
      <c r="L205" s="44">
        <v>375.97</v>
      </c>
      <c r="M205" s="44">
        <v>623.92999999999995</v>
      </c>
      <c r="N205" s="44">
        <v>247.96</v>
      </c>
      <c r="O205" s="42" t="s">
        <v>103</v>
      </c>
      <c r="P205" s="42">
        <v>0</v>
      </c>
      <c r="Q205" s="45">
        <f t="shared" si="6"/>
        <v>1.6595207064393434</v>
      </c>
      <c r="R205" s="46">
        <f t="shared" si="7"/>
        <v>10</v>
      </c>
    </row>
    <row r="206" spans="1:18" x14ac:dyDescent="0.2">
      <c r="A206" s="36" t="s">
        <v>764</v>
      </c>
      <c r="B206" s="36" t="s">
        <v>240</v>
      </c>
      <c r="C206" s="36" t="s">
        <v>241</v>
      </c>
      <c r="D206" s="40">
        <v>46018</v>
      </c>
      <c r="E206" s="36" t="s">
        <v>765</v>
      </c>
      <c r="F206" s="36" t="s">
        <v>22</v>
      </c>
      <c r="G206" s="36" t="s">
        <v>120</v>
      </c>
      <c r="H206" s="36" t="s">
        <v>28</v>
      </c>
      <c r="I206" s="36" t="s">
        <v>28</v>
      </c>
      <c r="J206" s="36" t="s">
        <v>109</v>
      </c>
      <c r="K206" s="36" t="s">
        <v>102</v>
      </c>
      <c r="L206" s="37">
        <v>458.41</v>
      </c>
      <c r="M206" s="37">
        <v>556.77</v>
      </c>
      <c r="N206" s="37">
        <v>98.36</v>
      </c>
      <c r="O206" s="36" t="s">
        <v>103</v>
      </c>
      <c r="P206" s="36">
        <v>0</v>
      </c>
      <c r="Q206" s="41">
        <f t="shared" si="6"/>
        <v>1.21456774503174</v>
      </c>
      <c r="R206" s="38">
        <f t="shared" si="7"/>
        <v>0</v>
      </c>
    </row>
    <row r="207" spans="1:18" x14ac:dyDescent="0.2">
      <c r="A207" s="42" t="s">
        <v>766</v>
      </c>
      <c r="B207" s="42" t="s">
        <v>767</v>
      </c>
      <c r="C207" s="42" t="s">
        <v>768</v>
      </c>
      <c r="D207" s="43">
        <v>45896</v>
      </c>
      <c r="E207" s="42" t="s">
        <v>769</v>
      </c>
      <c r="F207" s="42" t="s">
        <v>31</v>
      </c>
      <c r="G207" s="42" t="s">
        <v>114</v>
      </c>
      <c r="H207" s="42" t="s">
        <v>26</v>
      </c>
      <c r="I207" s="42" t="s">
        <v>26</v>
      </c>
      <c r="J207" s="42" t="s">
        <v>303</v>
      </c>
      <c r="K207" s="42" t="s">
        <v>103</v>
      </c>
      <c r="L207" s="44">
        <v>186.04</v>
      </c>
      <c r="M207" s="44">
        <v>107.05</v>
      </c>
      <c r="N207" s="44">
        <v>-78.989999999999995</v>
      </c>
      <c r="O207" s="42" t="s">
        <v>103</v>
      </c>
      <c r="P207" s="42">
        <v>0</v>
      </c>
      <c r="Q207" s="45">
        <f t="shared" si="6"/>
        <v>0.57541388948613204</v>
      </c>
      <c r="R207" s="46">
        <f t="shared" si="7"/>
        <v>20</v>
      </c>
    </row>
    <row r="208" spans="1:18" x14ac:dyDescent="0.2">
      <c r="A208" s="36" t="s">
        <v>770</v>
      </c>
      <c r="B208" s="36" t="s">
        <v>105</v>
      </c>
      <c r="C208" s="36" t="s">
        <v>106</v>
      </c>
      <c r="D208" s="40">
        <v>45708</v>
      </c>
      <c r="E208" s="36" t="s">
        <v>771</v>
      </c>
      <c r="F208" s="36" t="s">
        <v>33</v>
      </c>
      <c r="G208" s="36" t="s">
        <v>120</v>
      </c>
      <c r="H208" s="36" t="s">
        <v>28</v>
      </c>
      <c r="I208" s="36" t="s">
        <v>28</v>
      </c>
      <c r="J208" s="36" t="s">
        <v>109</v>
      </c>
      <c r="K208" s="36" t="s">
        <v>103</v>
      </c>
      <c r="L208" s="37">
        <v>383.2</v>
      </c>
      <c r="M208" s="37">
        <v>269.97000000000003</v>
      </c>
      <c r="N208" s="37">
        <v>-113.23</v>
      </c>
      <c r="O208" s="36" t="s">
        <v>103</v>
      </c>
      <c r="P208" s="36">
        <v>0</v>
      </c>
      <c r="Q208" s="41">
        <f t="shared" si="6"/>
        <v>0.70451461377870572</v>
      </c>
      <c r="R208" s="38">
        <f t="shared" si="7"/>
        <v>20</v>
      </c>
    </row>
    <row r="209" spans="1:18" x14ac:dyDescent="0.2">
      <c r="A209" s="42" t="s">
        <v>772</v>
      </c>
      <c r="B209" s="42" t="s">
        <v>468</v>
      </c>
      <c r="C209" s="42" t="s">
        <v>469</v>
      </c>
      <c r="D209" s="43">
        <v>45869</v>
      </c>
      <c r="E209" s="42" t="s">
        <v>773</v>
      </c>
      <c r="F209" s="42" t="s">
        <v>25</v>
      </c>
      <c r="G209" s="42" t="s">
        <v>120</v>
      </c>
      <c r="H209" s="42" t="s">
        <v>28</v>
      </c>
      <c r="I209" s="42" t="s">
        <v>28</v>
      </c>
      <c r="J209" s="42" t="s">
        <v>109</v>
      </c>
      <c r="K209" s="42" t="s">
        <v>103</v>
      </c>
      <c r="L209" s="44">
        <v>433.4</v>
      </c>
      <c r="M209" s="44">
        <v>706.77</v>
      </c>
      <c r="N209" s="44">
        <v>273.37</v>
      </c>
      <c r="O209" s="42" t="s">
        <v>103</v>
      </c>
      <c r="P209" s="42">
        <v>0</v>
      </c>
      <c r="Q209" s="45">
        <f t="shared" si="6"/>
        <v>1.6307568066451315</v>
      </c>
      <c r="R209" s="46">
        <f t="shared" si="7"/>
        <v>20</v>
      </c>
    </row>
    <row r="210" spans="1:18" x14ac:dyDescent="0.2">
      <c r="A210" s="36" t="s">
        <v>774</v>
      </c>
      <c r="B210" s="36" t="s">
        <v>525</v>
      </c>
      <c r="C210" s="36" t="s">
        <v>526</v>
      </c>
      <c r="D210" s="40">
        <v>45957</v>
      </c>
      <c r="E210" s="36" t="s">
        <v>775</v>
      </c>
      <c r="F210" s="36" t="s">
        <v>19</v>
      </c>
      <c r="G210" s="36" t="s">
        <v>131</v>
      </c>
      <c r="H210" s="36" t="s">
        <v>34</v>
      </c>
      <c r="I210" s="36" t="s">
        <v>34</v>
      </c>
      <c r="J210" s="36" t="s">
        <v>121</v>
      </c>
      <c r="K210" s="36" t="s">
        <v>102</v>
      </c>
      <c r="L210" s="37">
        <v>214.61</v>
      </c>
      <c r="M210" s="37">
        <v>71.959999999999994</v>
      </c>
      <c r="N210" s="37">
        <v>-142.65</v>
      </c>
      <c r="O210" s="36" t="s">
        <v>103</v>
      </c>
      <c r="P210" s="36">
        <v>0</v>
      </c>
      <c r="Q210" s="41">
        <f t="shared" si="6"/>
        <v>0.33530590373235164</v>
      </c>
      <c r="R210" s="38">
        <f t="shared" si="7"/>
        <v>0</v>
      </c>
    </row>
    <row r="211" spans="1:18" x14ac:dyDescent="0.2">
      <c r="A211" s="42" t="s">
        <v>776</v>
      </c>
      <c r="B211" s="42" t="s">
        <v>767</v>
      </c>
      <c r="C211" s="42" t="s">
        <v>768</v>
      </c>
      <c r="D211" s="43">
        <v>45949</v>
      </c>
      <c r="E211" s="42" t="s">
        <v>777</v>
      </c>
      <c r="F211" s="42" t="s">
        <v>19</v>
      </c>
      <c r="G211" s="42" t="s">
        <v>120</v>
      </c>
      <c r="H211" s="42" t="s">
        <v>26</v>
      </c>
      <c r="I211" s="42" t="s">
        <v>26</v>
      </c>
      <c r="J211" s="42" t="s">
        <v>303</v>
      </c>
      <c r="K211" s="42" t="s">
        <v>103</v>
      </c>
      <c r="L211" s="44">
        <v>279.81</v>
      </c>
      <c r="M211" s="44">
        <v>580.78</v>
      </c>
      <c r="N211" s="44">
        <v>300.97000000000003</v>
      </c>
      <c r="O211" s="42" t="s">
        <v>103</v>
      </c>
      <c r="P211" s="42">
        <v>0</v>
      </c>
      <c r="Q211" s="45">
        <f t="shared" si="6"/>
        <v>2.0756227440048605</v>
      </c>
      <c r="R211" s="46">
        <f t="shared" si="7"/>
        <v>30</v>
      </c>
    </row>
    <row r="212" spans="1:18" x14ac:dyDescent="0.2">
      <c r="A212" s="36" t="s">
        <v>778</v>
      </c>
      <c r="B212" s="36" t="s">
        <v>300</v>
      </c>
      <c r="C212" s="36" t="s">
        <v>301</v>
      </c>
      <c r="D212" s="40">
        <v>46078</v>
      </c>
      <c r="E212" s="36" t="s">
        <v>779</v>
      </c>
      <c r="F212" s="36" t="s">
        <v>33</v>
      </c>
      <c r="G212" s="36" t="s">
        <v>126</v>
      </c>
      <c r="H212" s="36" t="s">
        <v>26</v>
      </c>
      <c r="I212" s="36" t="s">
        <v>26</v>
      </c>
      <c r="J212" s="36" t="s">
        <v>303</v>
      </c>
      <c r="K212" s="36" t="s">
        <v>103</v>
      </c>
      <c r="L212" s="37">
        <v>324.43</v>
      </c>
      <c r="M212" s="37">
        <v>350.16</v>
      </c>
      <c r="N212" s="37">
        <v>25.73</v>
      </c>
      <c r="O212" s="36" t="s">
        <v>103</v>
      </c>
      <c r="P212" s="36">
        <v>1</v>
      </c>
      <c r="Q212" s="41">
        <f t="shared" si="6"/>
        <v>1.0793083253706501</v>
      </c>
      <c r="R212" s="38">
        <f t="shared" si="7"/>
        <v>30</v>
      </c>
    </row>
    <row r="213" spans="1:18" x14ac:dyDescent="0.2">
      <c r="A213" s="42" t="s">
        <v>780</v>
      </c>
      <c r="B213" s="42" t="s">
        <v>443</v>
      </c>
      <c r="C213" s="42" t="s">
        <v>444</v>
      </c>
      <c r="D213" s="43">
        <v>45744</v>
      </c>
      <c r="E213" s="42" t="s">
        <v>716</v>
      </c>
      <c r="F213" s="42" t="s">
        <v>31</v>
      </c>
      <c r="G213" s="42" t="s">
        <v>126</v>
      </c>
      <c r="H213" s="42" t="s">
        <v>34</v>
      </c>
      <c r="I213" s="42" t="s">
        <v>34</v>
      </c>
      <c r="J213" s="42" t="s">
        <v>152</v>
      </c>
      <c r="K213" s="42" t="s">
        <v>102</v>
      </c>
      <c r="L213" s="44">
        <v>277.81</v>
      </c>
      <c r="M213" s="44">
        <v>112.49</v>
      </c>
      <c r="N213" s="44">
        <v>-165.32</v>
      </c>
      <c r="O213" s="42" t="s">
        <v>103</v>
      </c>
      <c r="P213" s="42">
        <v>0</v>
      </c>
      <c r="Q213" s="45">
        <f t="shared" si="6"/>
        <v>0.40491702962456355</v>
      </c>
      <c r="R213" s="46">
        <f t="shared" si="7"/>
        <v>10</v>
      </c>
    </row>
    <row r="214" spans="1:18" x14ac:dyDescent="0.2">
      <c r="A214" s="36" t="s">
        <v>781</v>
      </c>
      <c r="B214" s="36" t="s">
        <v>352</v>
      </c>
      <c r="C214" s="36" t="s">
        <v>353</v>
      </c>
      <c r="D214" s="40">
        <v>45926</v>
      </c>
      <c r="E214" s="36" t="s">
        <v>782</v>
      </c>
      <c r="F214" s="36" t="s">
        <v>27</v>
      </c>
      <c r="G214" s="36" t="s">
        <v>100</v>
      </c>
      <c r="H214" s="36" t="s">
        <v>34</v>
      </c>
      <c r="I214" s="36" t="s">
        <v>34</v>
      </c>
      <c r="J214" s="36" t="s">
        <v>121</v>
      </c>
      <c r="K214" s="36" t="s">
        <v>102</v>
      </c>
      <c r="L214" s="37">
        <v>424.88</v>
      </c>
      <c r="M214" s="37">
        <v>883.5</v>
      </c>
      <c r="N214" s="37">
        <v>458.62</v>
      </c>
      <c r="O214" s="36" t="s">
        <v>103</v>
      </c>
      <c r="P214" s="36">
        <v>0</v>
      </c>
      <c r="Q214" s="41">
        <f t="shared" si="6"/>
        <v>2.0794106571267181</v>
      </c>
      <c r="R214" s="38">
        <f t="shared" si="7"/>
        <v>10</v>
      </c>
    </row>
    <row r="215" spans="1:18" x14ac:dyDescent="0.2">
      <c r="A215" s="42" t="s">
        <v>783</v>
      </c>
      <c r="B215" s="42" t="s">
        <v>300</v>
      </c>
      <c r="C215" s="42" t="s">
        <v>301</v>
      </c>
      <c r="D215" s="43">
        <v>45661</v>
      </c>
      <c r="E215" s="42" t="s">
        <v>784</v>
      </c>
      <c r="F215" s="42" t="s">
        <v>27</v>
      </c>
      <c r="G215" s="42" t="s">
        <v>131</v>
      </c>
      <c r="H215" s="42" t="s">
        <v>26</v>
      </c>
      <c r="I215" s="42" t="s">
        <v>26</v>
      </c>
      <c r="J215" s="42" t="s">
        <v>303</v>
      </c>
      <c r="K215" s="42" t="s">
        <v>103</v>
      </c>
      <c r="L215" s="44">
        <v>422.85</v>
      </c>
      <c r="M215" s="44">
        <v>215.3</v>
      </c>
      <c r="N215" s="44">
        <v>-207.55</v>
      </c>
      <c r="O215" s="42" t="s">
        <v>103</v>
      </c>
      <c r="P215" s="42">
        <v>1</v>
      </c>
      <c r="Q215" s="45">
        <f t="shared" si="6"/>
        <v>0.50916400614875246</v>
      </c>
      <c r="R215" s="46">
        <f t="shared" si="7"/>
        <v>20</v>
      </c>
    </row>
    <row r="216" spans="1:18" x14ac:dyDescent="0.2">
      <c r="A216" s="36" t="s">
        <v>785</v>
      </c>
      <c r="B216" s="36" t="s">
        <v>659</v>
      </c>
      <c r="C216" s="36" t="s">
        <v>660</v>
      </c>
      <c r="D216" s="40">
        <v>45769</v>
      </c>
      <c r="E216" s="36" t="s">
        <v>577</v>
      </c>
      <c r="F216" s="36" t="s">
        <v>27</v>
      </c>
      <c r="G216" s="36" t="s">
        <v>108</v>
      </c>
      <c r="H216" s="36" t="s">
        <v>34</v>
      </c>
      <c r="I216" s="36" t="s">
        <v>34</v>
      </c>
      <c r="J216" s="36" t="s">
        <v>121</v>
      </c>
      <c r="K216" s="36" t="s">
        <v>102</v>
      </c>
      <c r="L216" s="37">
        <v>192.87</v>
      </c>
      <c r="M216" s="37">
        <v>262.16000000000003</v>
      </c>
      <c r="N216" s="37">
        <v>69.290000000000006</v>
      </c>
      <c r="O216" s="36" t="s">
        <v>103</v>
      </c>
      <c r="P216" s="36">
        <v>0</v>
      </c>
      <c r="Q216" s="41">
        <f t="shared" si="6"/>
        <v>1.3592575309794164</v>
      </c>
      <c r="R216" s="38">
        <f t="shared" si="7"/>
        <v>0</v>
      </c>
    </row>
    <row r="217" spans="1:18" x14ac:dyDescent="0.2">
      <c r="A217" s="42" t="s">
        <v>786</v>
      </c>
      <c r="B217" s="42" t="s">
        <v>117</v>
      </c>
      <c r="C217" s="42" t="s">
        <v>118</v>
      </c>
      <c r="D217" s="43">
        <v>45995</v>
      </c>
      <c r="E217" s="42" t="s">
        <v>787</v>
      </c>
      <c r="F217" s="42" t="s">
        <v>25</v>
      </c>
      <c r="G217" s="42" t="s">
        <v>100</v>
      </c>
      <c r="H217" s="42" t="s">
        <v>34</v>
      </c>
      <c r="I217" s="42" t="s">
        <v>34</v>
      </c>
      <c r="J217" s="42" t="s">
        <v>121</v>
      </c>
      <c r="K217" s="42" t="s">
        <v>103</v>
      </c>
      <c r="L217" s="44">
        <v>13.24</v>
      </c>
      <c r="M217" s="44">
        <v>16.07</v>
      </c>
      <c r="N217" s="44">
        <v>2.83</v>
      </c>
      <c r="O217" s="42" t="s">
        <v>103</v>
      </c>
      <c r="P217" s="42">
        <v>1</v>
      </c>
      <c r="Q217" s="45">
        <f t="shared" si="6"/>
        <v>1.2137462235649548</v>
      </c>
      <c r="R217" s="46">
        <f t="shared" si="7"/>
        <v>20</v>
      </c>
    </row>
    <row r="218" spans="1:18" x14ac:dyDescent="0.2">
      <c r="A218" s="36" t="s">
        <v>788</v>
      </c>
      <c r="B218" s="36" t="s">
        <v>751</v>
      </c>
      <c r="C218" s="36" t="s">
        <v>752</v>
      </c>
      <c r="D218" s="40">
        <v>46027</v>
      </c>
      <c r="E218" s="36" t="s">
        <v>789</v>
      </c>
      <c r="F218" s="36" t="s">
        <v>22</v>
      </c>
      <c r="G218" s="36" t="s">
        <v>126</v>
      </c>
      <c r="H218" s="36" t="s">
        <v>34</v>
      </c>
      <c r="I218" s="36" t="s">
        <v>34</v>
      </c>
      <c r="J218" s="36" t="s">
        <v>121</v>
      </c>
      <c r="K218" s="36" t="s">
        <v>102</v>
      </c>
      <c r="L218" s="37">
        <v>488.96</v>
      </c>
      <c r="M218" s="37">
        <v>18.440000000000001</v>
      </c>
      <c r="N218" s="37">
        <v>-470.52</v>
      </c>
      <c r="O218" s="36" t="s">
        <v>103</v>
      </c>
      <c r="P218" s="36">
        <v>0</v>
      </c>
      <c r="Q218" s="41">
        <f t="shared" si="6"/>
        <v>3.7712696335078538E-2</v>
      </c>
      <c r="R218" s="38">
        <f t="shared" si="7"/>
        <v>10</v>
      </c>
    </row>
    <row r="219" spans="1:18" x14ac:dyDescent="0.2">
      <c r="A219" s="42" t="s">
        <v>790</v>
      </c>
      <c r="B219" s="42" t="s">
        <v>791</v>
      </c>
      <c r="C219" s="42" t="s">
        <v>792</v>
      </c>
      <c r="D219" s="43">
        <v>45878</v>
      </c>
      <c r="E219" s="42" t="s">
        <v>793</v>
      </c>
      <c r="F219" s="42" t="s">
        <v>33</v>
      </c>
      <c r="G219" s="42" t="s">
        <v>131</v>
      </c>
      <c r="H219" s="42" t="s">
        <v>34</v>
      </c>
      <c r="I219" s="42" t="s">
        <v>34</v>
      </c>
      <c r="J219" s="42" t="s">
        <v>121</v>
      </c>
      <c r="K219" s="42" t="s">
        <v>102</v>
      </c>
      <c r="L219" s="44">
        <v>459.84</v>
      </c>
      <c r="M219" s="44">
        <v>530.49</v>
      </c>
      <c r="N219" s="44">
        <v>70.650000000000006</v>
      </c>
      <c r="O219" s="42" t="s">
        <v>103</v>
      </c>
      <c r="P219" s="42">
        <v>0</v>
      </c>
      <c r="Q219" s="45">
        <f t="shared" si="6"/>
        <v>1.1536403966597077</v>
      </c>
      <c r="R219" s="46">
        <f t="shared" si="7"/>
        <v>0</v>
      </c>
    </row>
    <row r="220" spans="1:18" x14ac:dyDescent="0.2">
      <c r="A220" s="36" t="s">
        <v>794</v>
      </c>
      <c r="B220" s="36" t="s">
        <v>795</v>
      </c>
      <c r="C220" s="36" t="s">
        <v>796</v>
      </c>
      <c r="D220" s="40">
        <v>45927</v>
      </c>
      <c r="E220" s="36" t="s">
        <v>703</v>
      </c>
      <c r="F220" s="36" t="s">
        <v>25</v>
      </c>
      <c r="G220" s="36" t="s">
        <v>120</v>
      </c>
      <c r="H220" s="36" t="s">
        <v>34</v>
      </c>
      <c r="I220" s="36" t="s">
        <v>34</v>
      </c>
      <c r="J220" s="36" t="s">
        <v>121</v>
      </c>
      <c r="K220" s="36" t="s">
        <v>102</v>
      </c>
      <c r="L220" s="37">
        <v>183.68</v>
      </c>
      <c r="M220" s="37">
        <v>321.23</v>
      </c>
      <c r="N220" s="37">
        <v>137.55000000000001</v>
      </c>
      <c r="O220" s="36" t="s">
        <v>103</v>
      </c>
      <c r="P220" s="36">
        <v>2</v>
      </c>
      <c r="Q220" s="41">
        <f t="shared" si="6"/>
        <v>1.7488567073170731</v>
      </c>
      <c r="R220" s="38">
        <f t="shared" si="7"/>
        <v>0</v>
      </c>
    </row>
    <row r="221" spans="1:18" x14ac:dyDescent="0.2">
      <c r="A221" s="42" t="s">
        <v>797</v>
      </c>
      <c r="B221" s="42" t="s">
        <v>683</v>
      </c>
      <c r="C221" s="42" t="s">
        <v>684</v>
      </c>
      <c r="D221" s="43">
        <v>45893</v>
      </c>
      <c r="E221" s="42" t="s">
        <v>441</v>
      </c>
      <c r="F221" s="42" t="s">
        <v>27</v>
      </c>
      <c r="G221" s="42" t="s">
        <v>100</v>
      </c>
      <c r="H221" s="42" t="s">
        <v>23</v>
      </c>
      <c r="I221" s="42" t="s">
        <v>23</v>
      </c>
      <c r="J221" s="42" t="s">
        <v>101</v>
      </c>
      <c r="K221" s="42" t="s">
        <v>102</v>
      </c>
      <c r="L221" s="44">
        <v>495.21</v>
      </c>
      <c r="M221" s="44">
        <v>246.06</v>
      </c>
      <c r="N221" s="44">
        <v>-249.15</v>
      </c>
      <c r="O221" s="42" t="s">
        <v>103</v>
      </c>
      <c r="P221" s="42">
        <v>0</v>
      </c>
      <c r="Q221" s="45">
        <f t="shared" si="6"/>
        <v>0.49688011146786215</v>
      </c>
      <c r="R221" s="46">
        <f t="shared" si="7"/>
        <v>0</v>
      </c>
    </row>
    <row r="222" spans="1:18" x14ac:dyDescent="0.2">
      <c r="A222" s="36" t="s">
        <v>798</v>
      </c>
      <c r="B222" s="36" t="s">
        <v>610</v>
      </c>
      <c r="C222" s="36" t="s">
        <v>611</v>
      </c>
      <c r="D222" s="40">
        <v>45990</v>
      </c>
      <c r="E222" s="36" t="s">
        <v>799</v>
      </c>
      <c r="F222" s="36" t="s">
        <v>29</v>
      </c>
      <c r="G222" s="36" t="s">
        <v>100</v>
      </c>
      <c r="H222" s="36" t="s">
        <v>34</v>
      </c>
      <c r="I222" s="36" t="s">
        <v>34</v>
      </c>
      <c r="J222" s="36" t="s">
        <v>121</v>
      </c>
      <c r="K222" s="36" t="s">
        <v>102</v>
      </c>
      <c r="L222" s="37">
        <v>208.59</v>
      </c>
      <c r="M222" s="37">
        <v>173.08</v>
      </c>
      <c r="N222" s="37">
        <v>-35.51</v>
      </c>
      <c r="O222" s="36" t="s">
        <v>103</v>
      </c>
      <c r="P222" s="36">
        <v>0</v>
      </c>
      <c r="Q222" s="41">
        <f t="shared" si="6"/>
        <v>0.82976173354427352</v>
      </c>
      <c r="R222" s="38">
        <f t="shared" si="7"/>
        <v>0</v>
      </c>
    </row>
    <row r="223" spans="1:18" x14ac:dyDescent="0.2">
      <c r="A223" s="42" t="s">
        <v>800</v>
      </c>
      <c r="B223" s="42" t="s">
        <v>491</v>
      </c>
      <c r="C223" s="42" t="s">
        <v>492</v>
      </c>
      <c r="D223" s="43">
        <v>45662</v>
      </c>
      <c r="E223" s="42" t="s">
        <v>801</v>
      </c>
      <c r="F223" s="42" t="s">
        <v>27</v>
      </c>
      <c r="G223" s="42" t="s">
        <v>120</v>
      </c>
      <c r="H223" s="42" t="s">
        <v>34</v>
      </c>
      <c r="I223" s="42" t="s">
        <v>34</v>
      </c>
      <c r="J223" s="42" t="s">
        <v>121</v>
      </c>
      <c r="K223" s="42" t="s">
        <v>102</v>
      </c>
      <c r="L223" s="44">
        <v>50.52</v>
      </c>
      <c r="M223" s="44">
        <v>93.95</v>
      </c>
      <c r="N223" s="44">
        <v>43.43</v>
      </c>
      <c r="O223" s="42" t="s">
        <v>103</v>
      </c>
      <c r="P223" s="42">
        <v>1</v>
      </c>
      <c r="Q223" s="45">
        <f t="shared" si="6"/>
        <v>1.8596595407759302</v>
      </c>
      <c r="R223" s="46">
        <f t="shared" si="7"/>
        <v>0</v>
      </c>
    </row>
    <row r="224" spans="1:18" x14ac:dyDescent="0.2">
      <c r="A224" s="36" t="s">
        <v>802</v>
      </c>
      <c r="B224" s="36" t="s">
        <v>58</v>
      </c>
      <c r="C224" s="36" t="s">
        <v>59</v>
      </c>
      <c r="D224" s="40">
        <v>45706</v>
      </c>
      <c r="E224" s="36" t="s">
        <v>803</v>
      </c>
      <c r="F224" s="36" t="s">
        <v>31</v>
      </c>
      <c r="G224" s="36" t="s">
        <v>114</v>
      </c>
      <c r="H224" s="36" t="s">
        <v>23</v>
      </c>
      <c r="I224" s="36" t="s">
        <v>23</v>
      </c>
      <c r="J224" s="36" t="s">
        <v>143</v>
      </c>
      <c r="K224" s="36" t="s">
        <v>102</v>
      </c>
      <c r="L224" s="37">
        <v>8881.84</v>
      </c>
      <c r="M224" s="37">
        <v>32589.040000000001</v>
      </c>
      <c r="N224" s="37">
        <v>23707.200000000001</v>
      </c>
      <c r="O224" s="36" t="s">
        <v>103</v>
      </c>
      <c r="P224" s="36">
        <v>0</v>
      </c>
      <c r="Q224" s="41">
        <f t="shared" si="6"/>
        <v>3.6691766570890718</v>
      </c>
      <c r="R224" s="38">
        <f t="shared" si="7"/>
        <v>40</v>
      </c>
    </row>
    <row r="225" spans="1:18" x14ac:dyDescent="0.2">
      <c r="A225" s="42" t="s">
        <v>804</v>
      </c>
      <c r="B225" s="42" t="s">
        <v>665</v>
      </c>
      <c r="C225" s="42" t="s">
        <v>666</v>
      </c>
      <c r="D225" s="43">
        <v>45681</v>
      </c>
      <c r="E225" s="42" t="s">
        <v>805</v>
      </c>
      <c r="F225" s="42" t="s">
        <v>31</v>
      </c>
      <c r="G225" s="42" t="s">
        <v>126</v>
      </c>
      <c r="H225" s="42" t="s">
        <v>34</v>
      </c>
      <c r="I225" s="42" t="s">
        <v>34</v>
      </c>
      <c r="J225" s="42" t="s">
        <v>152</v>
      </c>
      <c r="K225" s="42" t="s">
        <v>102</v>
      </c>
      <c r="L225" s="44">
        <v>463.54</v>
      </c>
      <c r="M225" s="44">
        <v>917.11</v>
      </c>
      <c r="N225" s="44">
        <v>453.57</v>
      </c>
      <c r="O225" s="42" t="s">
        <v>103</v>
      </c>
      <c r="P225" s="42">
        <v>0</v>
      </c>
      <c r="Q225" s="45">
        <f t="shared" si="6"/>
        <v>1.9784916080597144</v>
      </c>
      <c r="R225" s="46">
        <f t="shared" si="7"/>
        <v>10</v>
      </c>
    </row>
    <row r="226" spans="1:18" x14ac:dyDescent="0.2">
      <c r="A226" s="36" t="s">
        <v>806</v>
      </c>
      <c r="B226" s="36" t="s">
        <v>707</v>
      </c>
      <c r="C226" s="36" t="s">
        <v>708</v>
      </c>
      <c r="D226" s="40">
        <v>45749</v>
      </c>
      <c r="E226" s="36" t="s">
        <v>807</v>
      </c>
      <c r="F226" s="36" t="s">
        <v>22</v>
      </c>
      <c r="G226" s="36" t="s">
        <v>126</v>
      </c>
      <c r="H226" s="36" t="s">
        <v>34</v>
      </c>
      <c r="I226" s="36" t="s">
        <v>34</v>
      </c>
      <c r="J226" s="36" t="s">
        <v>152</v>
      </c>
      <c r="K226" s="36" t="s">
        <v>102</v>
      </c>
      <c r="L226" s="37">
        <v>481.12</v>
      </c>
      <c r="M226" s="37">
        <v>621.36</v>
      </c>
      <c r="N226" s="37">
        <v>140.24</v>
      </c>
      <c r="O226" s="36" t="s">
        <v>103</v>
      </c>
      <c r="P226" s="36">
        <v>0</v>
      </c>
      <c r="Q226" s="41">
        <f t="shared" si="6"/>
        <v>1.291486531426671</v>
      </c>
      <c r="R226" s="38">
        <f t="shared" si="7"/>
        <v>10</v>
      </c>
    </row>
    <row r="227" spans="1:18" x14ac:dyDescent="0.2">
      <c r="A227" s="42" t="s">
        <v>808</v>
      </c>
      <c r="B227" s="42" t="s">
        <v>809</v>
      </c>
      <c r="C227" s="42" t="s">
        <v>810</v>
      </c>
      <c r="D227" s="43">
        <v>45697</v>
      </c>
      <c r="E227" s="42" t="s">
        <v>811</v>
      </c>
      <c r="F227" s="42" t="s">
        <v>22</v>
      </c>
      <c r="G227" s="42" t="s">
        <v>114</v>
      </c>
      <c r="H227" s="42" t="s">
        <v>34</v>
      </c>
      <c r="I227" s="42" t="s">
        <v>34</v>
      </c>
      <c r="J227" s="42" t="s">
        <v>188</v>
      </c>
      <c r="K227" s="42" t="s">
        <v>102</v>
      </c>
      <c r="L227" s="44">
        <v>286.33999999999997</v>
      </c>
      <c r="M227" s="44">
        <v>356.99</v>
      </c>
      <c r="N227" s="44">
        <v>70.650000000000006</v>
      </c>
      <c r="O227" s="42" t="s">
        <v>103</v>
      </c>
      <c r="P227" s="42">
        <v>2</v>
      </c>
      <c r="Q227" s="45">
        <f t="shared" si="6"/>
        <v>1.2467346511140605</v>
      </c>
      <c r="R227" s="46">
        <f t="shared" si="7"/>
        <v>0</v>
      </c>
    </row>
    <row r="228" spans="1:18" x14ac:dyDescent="0.2">
      <c r="A228" s="36" t="s">
        <v>812</v>
      </c>
      <c r="B228" s="36" t="s">
        <v>364</v>
      </c>
      <c r="C228" s="36" t="s">
        <v>365</v>
      </c>
      <c r="D228" s="40">
        <v>45934</v>
      </c>
      <c r="E228" s="36" t="s">
        <v>238</v>
      </c>
      <c r="F228" s="36" t="s">
        <v>27</v>
      </c>
      <c r="G228" s="36" t="s">
        <v>126</v>
      </c>
      <c r="H228" s="36" t="s">
        <v>34</v>
      </c>
      <c r="I228" s="36" t="s">
        <v>34</v>
      </c>
      <c r="J228" s="36" t="s">
        <v>188</v>
      </c>
      <c r="K228" s="36" t="s">
        <v>102</v>
      </c>
      <c r="L228" s="37">
        <v>380.25</v>
      </c>
      <c r="M228" s="37">
        <v>117.08</v>
      </c>
      <c r="N228" s="37">
        <v>-263.17</v>
      </c>
      <c r="O228" s="36" t="s">
        <v>103</v>
      </c>
      <c r="P228" s="36">
        <v>1</v>
      </c>
      <c r="Q228" s="41">
        <f t="shared" si="6"/>
        <v>0.30790269559500327</v>
      </c>
      <c r="R228" s="38">
        <f t="shared" si="7"/>
        <v>10</v>
      </c>
    </row>
    <row r="229" spans="1:18" x14ac:dyDescent="0.2">
      <c r="A229" s="42" t="s">
        <v>813</v>
      </c>
      <c r="B229" s="42" t="s">
        <v>232</v>
      </c>
      <c r="C229" s="42" t="s">
        <v>233</v>
      </c>
      <c r="D229" s="43">
        <v>45914</v>
      </c>
      <c r="E229" s="42" t="s">
        <v>814</v>
      </c>
      <c r="F229" s="42" t="s">
        <v>22</v>
      </c>
      <c r="G229" s="42" t="s">
        <v>100</v>
      </c>
      <c r="H229" s="42" t="s">
        <v>34</v>
      </c>
      <c r="I229" s="42" t="s">
        <v>34</v>
      </c>
      <c r="J229" s="42" t="s">
        <v>115</v>
      </c>
      <c r="K229" s="42" t="s">
        <v>103</v>
      </c>
      <c r="L229" s="44">
        <v>36.31</v>
      </c>
      <c r="M229" s="44">
        <v>34.92</v>
      </c>
      <c r="N229" s="44">
        <v>-1.39</v>
      </c>
      <c r="O229" s="42" t="s">
        <v>103</v>
      </c>
      <c r="P229" s="42">
        <v>0</v>
      </c>
      <c r="Q229" s="45">
        <f t="shared" si="6"/>
        <v>0.96171853483888736</v>
      </c>
      <c r="R229" s="46">
        <f t="shared" si="7"/>
        <v>20</v>
      </c>
    </row>
    <row r="230" spans="1:18" x14ac:dyDescent="0.2">
      <c r="A230" s="36" t="s">
        <v>815</v>
      </c>
      <c r="B230" s="36" t="s">
        <v>816</v>
      </c>
      <c r="C230" s="36" t="s">
        <v>817</v>
      </c>
      <c r="D230" s="40">
        <v>45967</v>
      </c>
      <c r="E230" s="36" t="s">
        <v>348</v>
      </c>
      <c r="F230" s="36" t="s">
        <v>25</v>
      </c>
      <c r="G230" s="36" t="s">
        <v>126</v>
      </c>
      <c r="H230" s="36" t="s">
        <v>34</v>
      </c>
      <c r="I230" s="36" t="s">
        <v>34</v>
      </c>
      <c r="J230" s="36" t="s">
        <v>188</v>
      </c>
      <c r="K230" s="36" t="s">
        <v>102</v>
      </c>
      <c r="L230" s="37">
        <v>204.38</v>
      </c>
      <c r="M230" s="37">
        <v>347.82</v>
      </c>
      <c r="N230" s="37">
        <v>143.44</v>
      </c>
      <c r="O230" s="36" t="s">
        <v>103</v>
      </c>
      <c r="P230" s="36">
        <v>0</v>
      </c>
      <c r="Q230" s="41">
        <f t="shared" si="6"/>
        <v>1.7018299246501614</v>
      </c>
      <c r="R230" s="38">
        <f t="shared" si="7"/>
        <v>10</v>
      </c>
    </row>
    <row r="231" spans="1:18" x14ac:dyDescent="0.2">
      <c r="A231" s="42" t="s">
        <v>818</v>
      </c>
      <c r="B231" s="42" t="s">
        <v>665</v>
      </c>
      <c r="C231" s="42" t="s">
        <v>666</v>
      </c>
      <c r="D231" s="43">
        <v>46059</v>
      </c>
      <c r="E231" s="42" t="s">
        <v>819</v>
      </c>
      <c r="F231" s="42" t="s">
        <v>29</v>
      </c>
      <c r="G231" s="42" t="s">
        <v>114</v>
      </c>
      <c r="H231" s="42" t="s">
        <v>34</v>
      </c>
      <c r="I231" s="42" t="s">
        <v>34</v>
      </c>
      <c r="J231" s="42" t="s">
        <v>152</v>
      </c>
      <c r="K231" s="42" t="s">
        <v>102</v>
      </c>
      <c r="L231" s="44">
        <v>121.79</v>
      </c>
      <c r="M231" s="44">
        <v>148.18</v>
      </c>
      <c r="N231" s="44">
        <v>26.39</v>
      </c>
      <c r="O231" s="42" t="s">
        <v>103</v>
      </c>
      <c r="P231" s="42">
        <v>0</v>
      </c>
      <c r="Q231" s="45">
        <f t="shared" si="6"/>
        <v>1.2166844568519584</v>
      </c>
      <c r="R231" s="46">
        <f t="shared" si="7"/>
        <v>0</v>
      </c>
    </row>
    <row r="232" spans="1:18" x14ac:dyDescent="0.2">
      <c r="A232" s="36" t="s">
        <v>820</v>
      </c>
      <c r="B232" s="36" t="s">
        <v>669</v>
      </c>
      <c r="C232" s="36" t="s">
        <v>670</v>
      </c>
      <c r="D232" s="40">
        <v>46006</v>
      </c>
      <c r="E232" s="36" t="s">
        <v>374</v>
      </c>
      <c r="F232" s="36" t="s">
        <v>19</v>
      </c>
      <c r="G232" s="36" t="s">
        <v>131</v>
      </c>
      <c r="H232" s="36" t="s">
        <v>30</v>
      </c>
      <c r="I232" s="36" t="s">
        <v>30</v>
      </c>
      <c r="J232" s="36" t="s">
        <v>143</v>
      </c>
      <c r="K232" s="36" t="s">
        <v>102</v>
      </c>
      <c r="L232" s="37">
        <v>196.24</v>
      </c>
      <c r="M232" s="37">
        <v>333.37</v>
      </c>
      <c r="N232" s="37">
        <v>137.13</v>
      </c>
      <c r="O232" s="36" t="s">
        <v>103</v>
      </c>
      <c r="P232" s="36">
        <v>3</v>
      </c>
      <c r="Q232" s="41">
        <f t="shared" si="6"/>
        <v>1.6987871993477375</v>
      </c>
      <c r="R232" s="38">
        <f t="shared" si="7"/>
        <v>0</v>
      </c>
    </row>
    <row r="233" spans="1:18" x14ac:dyDescent="0.2">
      <c r="A233" s="42" t="s">
        <v>821</v>
      </c>
      <c r="B233" s="42" t="s">
        <v>411</v>
      </c>
      <c r="C233" s="42" t="s">
        <v>412</v>
      </c>
      <c r="D233" s="43">
        <v>45695</v>
      </c>
      <c r="E233" s="42" t="s">
        <v>822</v>
      </c>
      <c r="F233" s="42" t="s">
        <v>27</v>
      </c>
      <c r="G233" s="42" t="s">
        <v>131</v>
      </c>
      <c r="H233" s="42" t="s">
        <v>34</v>
      </c>
      <c r="I233" s="42" t="s">
        <v>34</v>
      </c>
      <c r="J233" s="42" t="s">
        <v>121</v>
      </c>
      <c r="K233" s="42" t="s">
        <v>102</v>
      </c>
      <c r="L233" s="44">
        <v>85.57</v>
      </c>
      <c r="M233" s="44">
        <v>133.97999999999999</v>
      </c>
      <c r="N233" s="44">
        <v>48.41</v>
      </c>
      <c r="O233" s="42" t="s">
        <v>103</v>
      </c>
      <c r="P233" s="42">
        <v>2</v>
      </c>
      <c r="Q233" s="45">
        <f t="shared" si="6"/>
        <v>1.5657356550192825</v>
      </c>
      <c r="R233" s="46">
        <f t="shared" si="7"/>
        <v>0</v>
      </c>
    </row>
    <row r="234" spans="1:18" x14ac:dyDescent="0.2">
      <c r="A234" s="36" t="s">
        <v>823</v>
      </c>
      <c r="B234" s="36" t="s">
        <v>654</v>
      </c>
      <c r="C234" s="36" t="s">
        <v>655</v>
      </c>
      <c r="D234" s="40">
        <v>45857</v>
      </c>
      <c r="E234" s="36" t="s">
        <v>824</v>
      </c>
      <c r="F234" s="36" t="s">
        <v>19</v>
      </c>
      <c r="G234" s="36" t="s">
        <v>114</v>
      </c>
      <c r="H234" s="36" t="s">
        <v>30</v>
      </c>
      <c r="I234" s="36" t="s">
        <v>30</v>
      </c>
      <c r="J234" s="36" t="s">
        <v>143</v>
      </c>
      <c r="K234" s="36" t="s">
        <v>102</v>
      </c>
      <c r="L234" s="37">
        <v>62.21</v>
      </c>
      <c r="M234" s="37">
        <v>0.71</v>
      </c>
      <c r="N234" s="37">
        <v>-61.5</v>
      </c>
      <c r="O234" s="36" t="s">
        <v>103</v>
      </c>
      <c r="P234" s="36">
        <v>0</v>
      </c>
      <c r="Q234" s="41">
        <f t="shared" si="6"/>
        <v>1.1412956116380003E-2</v>
      </c>
      <c r="R234" s="38">
        <f t="shared" si="7"/>
        <v>0</v>
      </c>
    </row>
    <row r="235" spans="1:18" x14ac:dyDescent="0.2">
      <c r="A235" s="42" t="s">
        <v>825</v>
      </c>
      <c r="B235" s="42" t="s">
        <v>495</v>
      </c>
      <c r="C235" s="42" t="s">
        <v>496</v>
      </c>
      <c r="D235" s="43">
        <v>46047</v>
      </c>
      <c r="E235" s="42" t="s">
        <v>826</v>
      </c>
      <c r="F235" s="42" t="s">
        <v>29</v>
      </c>
      <c r="G235" s="42" t="s">
        <v>108</v>
      </c>
      <c r="H235" s="42" t="s">
        <v>32</v>
      </c>
      <c r="I235" s="42" t="s">
        <v>32</v>
      </c>
      <c r="J235" s="42" t="s">
        <v>132</v>
      </c>
      <c r="K235" s="42" t="s">
        <v>102</v>
      </c>
      <c r="L235" s="44">
        <v>74.930000000000007</v>
      </c>
      <c r="M235" s="44">
        <v>30.89</v>
      </c>
      <c r="N235" s="44">
        <v>-44.04</v>
      </c>
      <c r="O235" s="42" t="s">
        <v>103</v>
      </c>
      <c r="P235" s="42">
        <v>3</v>
      </c>
      <c r="Q235" s="45">
        <f t="shared" si="6"/>
        <v>0.41225143467236086</v>
      </c>
      <c r="R235" s="46">
        <f t="shared" si="7"/>
        <v>0</v>
      </c>
    </row>
    <row r="236" spans="1:18" x14ac:dyDescent="0.2">
      <c r="A236" s="36" t="s">
        <v>827</v>
      </c>
      <c r="B236" s="36" t="s">
        <v>368</v>
      </c>
      <c r="C236" s="36" t="s">
        <v>369</v>
      </c>
      <c r="D236" s="40">
        <v>45920</v>
      </c>
      <c r="E236" s="36" t="s">
        <v>828</v>
      </c>
      <c r="F236" s="36" t="s">
        <v>25</v>
      </c>
      <c r="G236" s="36" t="s">
        <v>108</v>
      </c>
      <c r="H236" s="36" t="s">
        <v>34</v>
      </c>
      <c r="I236" s="36" t="s">
        <v>34</v>
      </c>
      <c r="J236" s="36" t="s">
        <v>121</v>
      </c>
      <c r="K236" s="36" t="s">
        <v>102</v>
      </c>
      <c r="L236" s="37">
        <v>22.87</v>
      </c>
      <c r="M236" s="37">
        <v>17.809999999999999</v>
      </c>
      <c r="N236" s="37">
        <v>-5.0599999999999996</v>
      </c>
      <c r="O236" s="36" t="s">
        <v>103</v>
      </c>
      <c r="P236" s="36">
        <v>1</v>
      </c>
      <c r="Q236" s="41">
        <f t="shared" si="6"/>
        <v>0.77874945343244417</v>
      </c>
      <c r="R236" s="38">
        <f t="shared" si="7"/>
        <v>0</v>
      </c>
    </row>
    <row r="237" spans="1:18" x14ac:dyDescent="0.2">
      <c r="A237" s="42" t="s">
        <v>829</v>
      </c>
      <c r="B237" s="42" t="s">
        <v>735</v>
      </c>
      <c r="C237" s="42" t="s">
        <v>736</v>
      </c>
      <c r="D237" s="43">
        <v>46059</v>
      </c>
      <c r="E237" s="42" t="s">
        <v>830</v>
      </c>
      <c r="F237" s="42" t="s">
        <v>29</v>
      </c>
      <c r="G237" s="42" t="s">
        <v>100</v>
      </c>
      <c r="H237" s="42" t="s">
        <v>30</v>
      </c>
      <c r="I237" s="42" t="s">
        <v>30</v>
      </c>
      <c r="J237" s="42" t="s">
        <v>143</v>
      </c>
      <c r="K237" s="42" t="s">
        <v>102</v>
      </c>
      <c r="L237" s="44">
        <v>198.77</v>
      </c>
      <c r="M237" s="44">
        <v>127.62</v>
      </c>
      <c r="N237" s="44">
        <v>-71.150000000000006</v>
      </c>
      <c r="O237" s="42" t="s">
        <v>103</v>
      </c>
      <c r="P237" s="42">
        <v>0</v>
      </c>
      <c r="Q237" s="45">
        <f t="shared" si="6"/>
        <v>0.64204859888313126</v>
      </c>
      <c r="R237" s="46">
        <f t="shared" si="7"/>
        <v>0</v>
      </c>
    </row>
    <row r="238" spans="1:18" x14ac:dyDescent="0.2">
      <c r="A238" s="36" t="s">
        <v>831</v>
      </c>
      <c r="B238" s="36" t="s">
        <v>158</v>
      </c>
      <c r="C238" s="36" t="s">
        <v>159</v>
      </c>
      <c r="D238" s="40">
        <v>45944</v>
      </c>
      <c r="E238" s="36" t="s">
        <v>832</v>
      </c>
      <c r="F238" s="36" t="s">
        <v>33</v>
      </c>
      <c r="G238" s="36" t="s">
        <v>131</v>
      </c>
      <c r="H238" s="36" t="s">
        <v>28</v>
      </c>
      <c r="I238" s="36" t="s">
        <v>28</v>
      </c>
      <c r="J238" s="36" t="s">
        <v>109</v>
      </c>
      <c r="K238" s="36" t="s">
        <v>102</v>
      </c>
      <c r="L238" s="37">
        <v>265.33999999999997</v>
      </c>
      <c r="M238" s="37">
        <v>400.05</v>
      </c>
      <c r="N238" s="37">
        <v>134.71</v>
      </c>
      <c r="O238" s="36" t="s">
        <v>103</v>
      </c>
      <c r="P238" s="36">
        <v>0</v>
      </c>
      <c r="Q238" s="41">
        <f t="shared" si="6"/>
        <v>1.5076882490389691</v>
      </c>
      <c r="R238" s="38">
        <f t="shared" si="7"/>
        <v>0</v>
      </c>
    </row>
    <row r="239" spans="1:18" x14ac:dyDescent="0.2">
      <c r="A239" s="42" t="s">
        <v>833</v>
      </c>
      <c r="B239" s="42" t="s">
        <v>272</v>
      </c>
      <c r="C239" s="42" t="s">
        <v>273</v>
      </c>
      <c r="D239" s="43">
        <v>45812</v>
      </c>
      <c r="E239" s="42" t="s">
        <v>834</v>
      </c>
      <c r="F239" s="42" t="s">
        <v>19</v>
      </c>
      <c r="G239" s="42" t="s">
        <v>114</v>
      </c>
      <c r="H239" s="42" t="s">
        <v>34</v>
      </c>
      <c r="I239" s="42" t="s">
        <v>34</v>
      </c>
      <c r="J239" s="42" t="s">
        <v>121</v>
      </c>
      <c r="K239" s="42" t="s">
        <v>102</v>
      </c>
      <c r="L239" s="44">
        <v>81.510000000000005</v>
      </c>
      <c r="M239" s="44">
        <v>29.98</v>
      </c>
      <c r="N239" s="44">
        <v>-51.53</v>
      </c>
      <c r="O239" s="42" t="s">
        <v>103</v>
      </c>
      <c r="P239" s="42">
        <v>2</v>
      </c>
      <c r="Q239" s="45">
        <f t="shared" si="6"/>
        <v>0.36780763096552571</v>
      </c>
      <c r="R239" s="46">
        <f t="shared" si="7"/>
        <v>0</v>
      </c>
    </row>
    <row r="240" spans="1:18" x14ac:dyDescent="0.2">
      <c r="A240" s="36" t="s">
        <v>835</v>
      </c>
      <c r="B240" s="36" t="s">
        <v>111</v>
      </c>
      <c r="C240" s="36" t="s">
        <v>112</v>
      </c>
      <c r="D240" s="40">
        <v>45905</v>
      </c>
      <c r="E240" s="36" t="s">
        <v>836</v>
      </c>
      <c r="F240" s="36" t="s">
        <v>27</v>
      </c>
      <c r="G240" s="36" t="s">
        <v>114</v>
      </c>
      <c r="H240" s="36" t="s">
        <v>34</v>
      </c>
      <c r="I240" s="36" t="s">
        <v>34</v>
      </c>
      <c r="J240" s="36" t="s">
        <v>115</v>
      </c>
      <c r="K240" s="36" t="s">
        <v>102</v>
      </c>
      <c r="L240" s="37">
        <v>133.33000000000001</v>
      </c>
      <c r="M240" s="37">
        <v>72.33</v>
      </c>
      <c r="N240" s="37">
        <v>-61</v>
      </c>
      <c r="O240" s="36" t="s">
        <v>103</v>
      </c>
      <c r="P240" s="36">
        <v>2</v>
      </c>
      <c r="Q240" s="41">
        <f t="shared" si="6"/>
        <v>0.54248856221405528</v>
      </c>
      <c r="R240" s="38">
        <f t="shared" si="7"/>
        <v>0</v>
      </c>
    </row>
    <row r="241" spans="1:18" x14ac:dyDescent="0.2">
      <c r="A241" s="42" t="s">
        <v>837</v>
      </c>
      <c r="B241" s="42" t="s">
        <v>838</v>
      </c>
      <c r="C241" s="42" t="s">
        <v>839</v>
      </c>
      <c r="D241" s="43">
        <v>45973</v>
      </c>
      <c r="E241" s="42" t="s">
        <v>840</v>
      </c>
      <c r="F241" s="42" t="s">
        <v>29</v>
      </c>
      <c r="G241" s="42" t="s">
        <v>120</v>
      </c>
      <c r="H241" s="42" t="s">
        <v>34</v>
      </c>
      <c r="I241" s="42" t="s">
        <v>34</v>
      </c>
      <c r="J241" s="42" t="s">
        <v>121</v>
      </c>
      <c r="K241" s="42" t="s">
        <v>102</v>
      </c>
      <c r="L241" s="44">
        <v>62.42</v>
      </c>
      <c r="M241" s="44">
        <v>41.84</v>
      </c>
      <c r="N241" s="44">
        <v>-20.58</v>
      </c>
      <c r="O241" s="42" t="s">
        <v>103</v>
      </c>
      <c r="P241" s="42">
        <v>0</v>
      </c>
      <c r="Q241" s="45">
        <f t="shared" si="6"/>
        <v>0.67029798141621277</v>
      </c>
      <c r="R241" s="46">
        <f t="shared" si="7"/>
        <v>0</v>
      </c>
    </row>
    <row r="242" spans="1:18" x14ac:dyDescent="0.2">
      <c r="A242" s="36" t="s">
        <v>841</v>
      </c>
      <c r="B242" s="36" t="s">
        <v>795</v>
      </c>
      <c r="C242" s="36" t="s">
        <v>796</v>
      </c>
      <c r="D242" s="40">
        <v>45852</v>
      </c>
      <c r="E242" s="36" t="s">
        <v>842</v>
      </c>
      <c r="F242" s="36" t="s">
        <v>22</v>
      </c>
      <c r="G242" s="36" t="s">
        <v>126</v>
      </c>
      <c r="H242" s="36" t="s">
        <v>34</v>
      </c>
      <c r="I242" s="36" t="s">
        <v>34</v>
      </c>
      <c r="J242" s="36" t="s">
        <v>121</v>
      </c>
      <c r="K242" s="36" t="s">
        <v>102</v>
      </c>
      <c r="L242" s="37">
        <v>174.02</v>
      </c>
      <c r="M242" s="37">
        <v>312.2</v>
      </c>
      <c r="N242" s="37">
        <v>138.18</v>
      </c>
      <c r="O242" s="36" t="s">
        <v>103</v>
      </c>
      <c r="P242" s="36">
        <v>2</v>
      </c>
      <c r="Q242" s="41">
        <f t="shared" si="6"/>
        <v>1.7940466613032984</v>
      </c>
      <c r="R242" s="38">
        <f t="shared" si="7"/>
        <v>10</v>
      </c>
    </row>
    <row r="243" spans="1:18" x14ac:dyDescent="0.2">
      <c r="A243" s="42" t="s">
        <v>843</v>
      </c>
      <c r="B243" s="42" t="s">
        <v>838</v>
      </c>
      <c r="C243" s="42" t="s">
        <v>839</v>
      </c>
      <c r="D243" s="43">
        <v>45727</v>
      </c>
      <c r="E243" s="42" t="s">
        <v>302</v>
      </c>
      <c r="F243" s="42" t="s">
        <v>29</v>
      </c>
      <c r="G243" s="42" t="s">
        <v>120</v>
      </c>
      <c r="H243" s="42" t="s">
        <v>34</v>
      </c>
      <c r="I243" s="42" t="s">
        <v>34</v>
      </c>
      <c r="J243" s="42" t="s">
        <v>121</v>
      </c>
      <c r="K243" s="42" t="s">
        <v>102</v>
      </c>
      <c r="L243" s="44">
        <v>305.57</v>
      </c>
      <c r="M243" s="44">
        <v>467.41</v>
      </c>
      <c r="N243" s="44">
        <v>161.84</v>
      </c>
      <c r="O243" s="42" t="s">
        <v>103</v>
      </c>
      <c r="P243" s="42">
        <v>0</v>
      </c>
      <c r="Q243" s="45">
        <f t="shared" si="6"/>
        <v>1.529633144614982</v>
      </c>
      <c r="R243" s="46">
        <f t="shared" si="7"/>
        <v>0</v>
      </c>
    </row>
    <row r="244" spans="1:18" x14ac:dyDescent="0.2">
      <c r="A244" s="36" t="s">
        <v>844</v>
      </c>
      <c r="B244" s="36" t="s">
        <v>845</v>
      </c>
      <c r="C244" s="36" t="s">
        <v>846</v>
      </c>
      <c r="D244" s="40">
        <v>45861</v>
      </c>
      <c r="E244" s="36" t="s">
        <v>847</v>
      </c>
      <c r="F244" s="36" t="s">
        <v>31</v>
      </c>
      <c r="G244" s="36" t="s">
        <v>131</v>
      </c>
      <c r="H244" s="36" t="s">
        <v>34</v>
      </c>
      <c r="I244" s="36" t="s">
        <v>34</v>
      </c>
      <c r="J244" s="36" t="s">
        <v>121</v>
      </c>
      <c r="K244" s="36" t="s">
        <v>103</v>
      </c>
      <c r="L244" s="37">
        <v>370.09</v>
      </c>
      <c r="M244" s="37">
        <v>515.30999999999995</v>
      </c>
      <c r="N244" s="37">
        <v>145.22</v>
      </c>
      <c r="O244" s="36" t="s">
        <v>103</v>
      </c>
      <c r="P244" s="36">
        <v>3</v>
      </c>
      <c r="Q244" s="41">
        <f t="shared" si="6"/>
        <v>1.392391040017293</v>
      </c>
      <c r="R244" s="38">
        <f t="shared" si="7"/>
        <v>20</v>
      </c>
    </row>
    <row r="245" spans="1:18" x14ac:dyDescent="0.2">
      <c r="A245" s="42" t="s">
        <v>848</v>
      </c>
      <c r="B245" s="42" t="s">
        <v>145</v>
      </c>
      <c r="C245" s="42" t="s">
        <v>146</v>
      </c>
      <c r="D245" s="43">
        <v>45850</v>
      </c>
      <c r="E245" s="42" t="s">
        <v>703</v>
      </c>
      <c r="F245" s="42" t="s">
        <v>31</v>
      </c>
      <c r="G245" s="42" t="s">
        <v>131</v>
      </c>
      <c r="H245" s="42" t="s">
        <v>34</v>
      </c>
      <c r="I245" s="42" t="s">
        <v>34</v>
      </c>
      <c r="J245" s="42" t="s">
        <v>121</v>
      </c>
      <c r="K245" s="42" t="s">
        <v>102</v>
      </c>
      <c r="L245" s="44">
        <v>395.07</v>
      </c>
      <c r="M245" s="44">
        <v>317.25</v>
      </c>
      <c r="N245" s="44">
        <v>-77.819999999999993</v>
      </c>
      <c r="O245" s="42" t="s">
        <v>103</v>
      </c>
      <c r="P245" s="42">
        <v>2</v>
      </c>
      <c r="Q245" s="45">
        <f t="shared" si="6"/>
        <v>0.80302224922165688</v>
      </c>
      <c r="R245" s="46">
        <f t="shared" si="7"/>
        <v>0</v>
      </c>
    </row>
    <row r="246" spans="1:18" x14ac:dyDescent="0.2">
      <c r="A246" s="36" t="s">
        <v>849</v>
      </c>
      <c r="B246" s="36" t="s">
        <v>850</v>
      </c>
      <c r="C246" s="36" t="s">
        <v>851</v>
      </c>
      <c r="D246" s="40">
        <v>45937</v>
      </c>
      <c r="E246" s="36" t="s">
        <v>852</v>
      </c>
      <c r="F246" s="36" t="s">
        <v>27</v>
      </c>
      <c r="G246" s="36" t="s">
        <v>114</v>
      </c>
      <c r="H246" s="36" t="s">
        <v>34</v>
      </c>
      <c r="I246" s="36" t="s">
        <v>34</v>
      </c>
      <c r="J246" s="36" t="s">
        <v>121</v>
      </c>
      <c r="K246" s="36" t="s">
        <v>102</v>
      </c>
      <c r="L246" s="37">
        <v>386.13</v>
      </c>
      <c r="M246" s="37">
        <v>22.86</v>
      </c>
      <c r="N246" s="37">
        <v>-363.27</v>
      </c>
      <c r="O246" s="36" t="s">
        <v>103</v>
      </c>
      <c r="P246" s="36">
        <v>1</v>
      </c>
      <c r="Q246" s="41">
        <f t="shared" si="6"/>
        <v>5.920285914070391E-2</v>
      </c>
      <c r="R246" s="38">
        <f t="shared" si="7"/>
        <v>0</v>
      </c>
    </row>
    <row r="247" spans="1:18" x14ac:dyDescent="0.2">
      <c r="A247" s="42" t="s">
        <v>853</v>
      </c>
      <c r="B247" s="42" t="s">
        <v>854</v>
      </c>
      <c r="C247" s="42" t="s">
        <v>855</v>
      </c>
      <c r="D247" s="43">
        <v>45765</v>
      </c>
      <c r="E247" s="42" t="s">
        <v>856</v>
      </c>
      <c r="F247" s="42" t="s">
        <v>22</v>
      </c>
      <c r="G247" s="42" t="s">
        <v>114</v>
      </c>
      <c r="H247" s="42" t="s">
        <v>34</v>
      </c>
      <c r="I247" s="42" t="s">
        <v>34</v>
      </c>
      <c r="J247" s="42" t="s">
        <v>121</v>
      </c>
      <c r="K247" s="42" t="s">
        <v>102</v>
      </c>
      <c r="L247" s="44">
        <v>152.75</v>
      </c>
      <c r="M247" s="44">
        <v>232.83</v>
      </c>
      <c r="N247" s="44">
        <v>80.08</v>
      </c>
      <c r="O247" s="42" t="s">
        <v>103</v>
      </c>
      <c r="P247" s="42">
        <v>1</v>
      </c>
      <c r="Q247" s="45">
        <f t="shared" si="6"/>
        <v>1.5242553191489363</v>
      </c>
      <c r="R247" s="46">
        <f t="shared" si="7"/>
        <v>0</v>
      </c>
    </row>
    <row r="248" spans="1:18" x14ac:dyDescent="0.2">
      <c r="A248" s="36" t="s">
        <v>857</v>
      </c>
      <c r="B248" s="36" t="s">
        <v>791</v>
      </c>
      <c r="C248" s="36" t="s">
        <v>792</v>
      </c>
      <c r="D248" s="40">
        <v>45913</v>
      </c>
      <c r="E248" s="36" t="s">
        <v>543</v>
      </c>
      <c r="F248" s="36" t="s">
        <v>33</v>
      </c>
      <c r="G248" s="36" t="s">
        <v>126</v>
      </c>
      <c r="H248" s="36" t="s">
        <v>34</v>
      </c>
      <c r="I248" s="36" t="s">
        <v>34</v>
      </c>
      <c r="J248" s="36" t="s">
        <v>121</v>
      </c>
      <c r="K248" s="36" t="s">
        <v>102</v>
      </c>
      <c r="L248" s="37">
        <v>158.38999999999999</v>
      </c>
      <c r="M248" s="37">
        <v>88.05</v>
      </c>
      <c r="N248" s="37">
        <v>-70.34</v>
      </c>
      <c r="O248" s="36" t="s">
        <v>103</v>
      </c>
      <c r="P248" s="36">
        <v>0</v>
      </c>
      <c r="Q248" s="41">
        <f t="shared" si="6"/>
        <v>0.55590630721636469</v>
      </c>
      <c r="R248" s="38">
        <f t="shared" si="7"/>
        <v>10</v>
      </c>
    </row>
    <row r="249" spans="1:18" x14ac:dyDescent="0.2">
      <c r="A249" s="42" t="s">
        <v>858</v>
      </c>
      <c r="B249" s="42" t="s">
        <v>431</v>
      </c>
      <c r="C249" s="42" t="s">
        <v>432</v>
      </c>
      <c r="D249" s="43">
        <v>46062</v>
      </c>
      <c r="E249" s="42" t="s">
        <v>859</v>
      </c>
      <c r="F249" s="42" t="s">
        <v>31</v>
      </c>
      <c r="G249" s="42" t="s">
        <v>114</v>
      </c>
      <c r="H249" s="42" t="s">
        <v>26</v>
      </c>
      <c r="I249" s="42" t="s">
        <v>26</v>
      </c>
      <c r="J249" s="42" t="s">
        <v>303</v>
      </c>
      <c r="K249" s="42" t="s">
        <v>103</v>
      </c>
      <c r="L249" s="44">
        <v>230.04</v>
      </c>
      <c r="M249" s="44">
        <v>302.61</v>
      </c>
      <c r="N249" s="44">
        <v>72.569999999999993</v>
      </c>
      <c r="O249" s="42" t="s">
        <v>103</v>
      </c>
      <c r="P249" s="42">
        <v>1</v>
      </c>
      <c r="Q249" s="45">
        <f t="shared" si="6"/>
        <v>1.3154668753260303</v>
      </c>
      <c r="R249" s="46">
        <f t="shared" si="7"/>
        <v>20</v>
      </c>
    </row>
    <row r="250" spans="1:18" x14ac:dyDescent="0.2">
      <c r="A250" s="36" t="s">
        <v>860</v>
      </c>
      <c r="B250" s="36" t="s">
        <v>861</v>
      </c>
      <c r="C250" s="36" t="s">
        <v>862</v>
      </c>
      <c r="D250" s="40">
        <v>45917</v>
      </c>
      <c r="E250" s="36" t="s">
        <v>863</v>
      </c>
      <c r="F250" s="36" t="s">
        <v>19</v>
      </c>
      <c r="G250" s="36" t="s">
        <v>126</v>
      </c>
      <c r="H250" s="36" t="s">
        <v>34</v>
      </c>
      <c r="I250" s="36" t="s">
        <v>34</v>
      </c>
      <c r="J250" s="36" t="s">
        <v>121</v>
      </c>
      <c r="K250" s="36" t="s">
        <v>102</v>
      </c>
      <c r="L250" s="37">
        <v>276.39</v>
      </c>
      <c r="M250" s="37">
        <v>480.8</v>
      </c>
      <c r="N250" s="37">
        <v>204.41</v>
      </c>
      <c r="O250" s="36" t="s">
        <v>103</v>
      </c>
      <c r="P250" s="36">
        <v>0</v>
      </c>
      <c r="Q250" s="41">
        <f t="shared" si="6"/>
        <v>1.7395708961974023</v>
      </c>
      <c r="R250" s="38">
        <f t="shared" si="7"/>
        <v>10</v>
      </c>
    </row>
    <row r="251" spans="1:18" x14ac:dyDescent="0.2">
      <c r="A251" s="42" t="s">
        <v>864</v>
      </c>
      <c r="B251" s="42" t="s">
        <v>581</v>
      </c>
      <c r="C251" s="42" t="s">
        <v>582</v>
      </c>
      <c r="D251" s="43">
        <v>45962</v>
      </c>
      <c r="E251" s="42" t="s">
        <v>865</v>
      </c>
      <c r="F251" s="42" t="s">
        <v>27</v>
      </c>
      <c r="G251" s="42" t="s">
        <v>126</v>
      </c>
      <c r="H251" s="42" t="s">
        <v>34</v>
      </c>
      <c r="I251" s="42" t="s">
        <v>34</v>
      </c>
      <c r="J251" s="42" t="s">
        <v>152</v>
      </c>
      <c r="K251" s="42" t="s">
        <v>102</v>
      </c>
      <c r="L251" s="44">
        <v>51.64</v>
      </c>
      <c r="M251" s="44">
        <v>87.36</v>
      </c>
      <c r="N251" s="44">
        <v>35.72</v>
      </c>
      <c r="O251" s="42" t="s">
        <v>103</v>
      </c>
      <c r="P251" s="42">
        <v>0</v>
      </c>
      <c r="Q251" s="45">
        <f t="shared" si="6"/>
        <v>1.6917118512780789</v>
      </c>
      <c r="R251" s="46">
        <f t="shared" si="7"/>
        <v>10</v>
      </c>
    </row>
    <row r="252" spans="1:18" x14ac:dyDescent="0.2">
      <c r="A252" s="36" t="s">
        <v>866</v>
      </c>
      <c r="B252" s="36" t="s">
        <v>443</v>
      </c>
      <c r="C252" s="36" t="s">
        <v>444</v>
      </c>
      <c r="D252" s="40">
        <v>45743</v>
      </c>
      <c r="E252" s="36" t="s">
        <v>867</v>
      </c>
      <c r="F252" s="36" t="s">
        <v>27</v>
      </c>
      <c r="G252" s="36" t="s">
        <v>126</v>
      </c>
      <c r="H252" s="36" t="s">
        <v>34</v>
      </c>
      <c r="I252" s="36" t="s">
        <v>34</v>
      </c>
      <c r="J252" s="36" t="s">
        <v>152</v>
      </c>
      <c r="K252" s="36" t="s">
        <v>102</v>
      </c>
      <c r="L252" s="37">
        <v>31.71</v>
      </c>
      <c r="M252" s="37">
        <v>68.62</v>
      </c>
      <c r="N252" s="37">
        <v>36.909999999999997</v>
      </c>
      <c r="O252" s="36" t="s">
        <v>103</v>
      </c>
      <c r="P252" s="36">
        <v>0</v>
      </c>
      <c r="Q252" s="41">
        <f t="shared" si="6"/>
        <v>2.163986124251025</v>
      </c>
      <c r="R252" s="38">
        <f t="shared" si="7"/>
        <v>20</v>
      </c>
    </row>
    <row r="253" spans="1:18" x14ac:dyDescent="0.2">
      <c r="A253" s="42" t="s">
        <v>868</v>
      </c>
      <c r="B253" s="42" t="s">
        <v>248</v>
      </c>
      <c r="C253" s="42" t="s">
        <v>249</v>
      </c>
      <c r="D253" s="43">
        <v>46043</v>
      </c>
      <c r="E253" s="42" t="s">
        <v>869</v>
      </c>
      <c r="F253" s="42" t="s">
        <v>19</v>
      </c>
      <c r="G253" s="42" t="s">
        <v>131</v>
      </c>
      <c r="H253" s="42" t="s">
        <v>34</v>
      </c>
      <c r="I253" s="42" t="s">
        <v>34</v>
      </c>
      <c r="J253" s="42" t="s">
        <v>188</v>
      </c>
      <c r="K253" s="42" t="s">
        <v>102</v>
      </c>
      <c r="L253" s="44">
        <v>220.92</v>
      </c>
      <c r="M253" s="44">
        <v>5.13</v>
      </c>
      <c r="N253" s="44">
        <v>-215.79</v>
      </c>
      <c r="O253" s="42" t="s">
        <v>103</v>
      </c>
      <c r="P253" s="42">
        <v>1</v>
      </c>
      <c r="Q253" s="45">
        <f t="shared" si="6"/>
        <v>2.3221075502444323E-2</v>
      </c>
      <c r="R253" s="46">
        <f t="shared" si="7"/>
        <v>0</v>
      </c>
    </row>
    <row r="254" spans="1:18" x14ac:dyDescent="0.2">
      <c r="A254" s="36" t="s">
        <v>870</v>
      </c>
      <c r="B254" s="36" t="s">
        <v>324</v>
      </c>
      <c r="C254" s="36" t="s">
        <v>325</v>
      </c>
      <c r="D254" s="40">
        <v>46040</v>
      </c>
      <c r="E254" s="36" t="s">
        <v>565</v>
      </c>
      <c r="F254" s="36" t="s">
        <v>29</v>
      </c>
      <c r="G254" s="36" t="s">
        <v>120</v>
      </c>
      <c r="H254" s="36" t="s">
        <v>20</v>
      </c>
      <c r="I254" s="36" t="s">
        <v>20</v>
      </c>
      <c r="J254" s="36" t="s">
        <v>183</v>
      </c>
      <c r="K254" s="36" t="s">
        <v>102</v>
      </c>
      <c r="L254" s="37">
        <v>294.45</v>
      </c>
      <c r="M254" s="37">
        <v>372.63</v>
      </c>
      <c r="N254" s="37">
        <v>78.180000000000007</v>
      </c>
      <c r="O254" s="36" t="s">
        <v>103</v>
      </c>
      <c r="P254" s="36">
        <v>2</v>
      </c>
      <c r="Q254" s="41">
        <f t="shared" si="6"/>
        <v>1.2655119714722365</v>
      </c>
      <c r="R254" s="38">
        <f t="shared" si="7"/>
        <v>0</v>
      </c>
    </row>
    <row r="255" spans="1:18" x14ac:dyDescent="0.2">
      <c r="A255" s="42" t="s">
        <v>871</v>
      </c>
      <c r="B255" s="42" t="s">
        <v>714</v>
      </c>
      <c r="C255" s="42" t="s">
        <v>715</v>
      </c>
      <c r="D255" s="43">
        <v>45895</v>
      </c>
      <c r="E255" s="42" t="s">
        <v>872</v>
      </c>
      <c r="F255" s="42" t="s">
        <v>25</v>
      </c>
      <c r="G255" s="42" t="s">
        <v>114</v>
      </c>
      <c r="H255" s="42" t="s">
        <v>34</v>
      </c>
      <c r="I255" s="42" t="s">
        <v>34</v>
      </c>
      <c r="J255" s="42" t="s">
        <v>115</v>
      </c>
      <c r="K255" s="42" t="s">
        <v>102</v>
      </c>
      <c r="L255" s="44">
        <v>348.31</v>
      </c>
      <c r="M255" s="44">
        <v>115.51</v>
      </c>
      <c r="N255" s="44">
        <v>-232.8</v>
      </c>
      <c r="O255" s="42" t="s">
        <v>103</v>
      </c>
      <c r="P255" s="42">
        <v>1</v>
      </c>
      <c r="Q255" s="45">
        <f t="shared" si="6"/>
        <v>0.33162986994344118</v>
      </c>
      <c r="R255" s="46">
        <f t="shared" si="7"/>
        <v>0</v>
      </c>
    </row>
    <row r="256" spans="1:18" x14ac:dyDescent="0.2">
      <c r="A256" s="36" t="s">
        <v>873</v>
      </c>
      <c r="B256" s="36" t="s">
        <v>874</v>
      </c>
      <c r="C256" s="36" t="s">
        <v>875</v>
      </c>
      <c r="D256" s="40">
        <v>45809</v>
      </c>
      <c r="E256" s="36" t="s">
        <v>876</v>
      </c>
      <c r="F256" s="36" t="s">
        <v>27</v>
      </c>
      <c r="G256" s="36" t="s">
        <v>131</v>
      </c>
      <c r="H256" s="36" t="s">
        <v>34</v>
      </c>
      <c r="I256" s="36" t="s">
        <v>34</v>
      </c>
      <c r="J256" s="36" t="s">
        <v>115</v>
      </c>
      <c r="K256" s="36" t="s">
        <v>102</v>
      </c>
      <c r="L256" s="37">
        <v>481.25</v>
      </c>
      <c r="M256" s="37">
        <v>122.89</v>
      </c>
      <c r="N256" s="37">
        <v>-358.36</v>
      </c>
      <c r="O256" s="36" t="s">
        <v>103</v>
      </c>
      <c r="P256" s="36">
        <v>1</v>
      </c>
      <c r="Q256" s="41">
        <f t="shared" si="6"/>
        <v>0.25535584415584417</v>
      </c>
      <c r="R256" s="38">
        <f t="shared" si="7"/>
        <v>0</v>
      </c>
    </row>
    <row r="257" spans="1:18" x14ac:dyDescent="0.2">
      <c r="A257" s="42" t="s">
        <v>877</v>
      </c>
      <c r="B257" s="42" t="s">
        <v>878</v>
      </c>
      <c r="C257" s="42" t="s">
        <v>879</v>
      </c>
      <c r="D257" s="43">
        <v>45817</v>
      </c>
      <c r="E257" s="42" t="s">
        <v>880</v>
      </c>
      <c r="F257" s="42" t="s">
        <v>19</v>
      </c>
      <c r="G257" s="42" t="s">
        <v>114</v>
      </c>
      <c r="H257" s="42" t="s">
        <v>34</v>
      </c>
      <c r="I257" s="42" t="s">
        <v>34</v>
      </c>
      <c r="J257" s="42" t="s">
        <v>115</v>
      </c>
      <c r="K257" s="42" t="s">
        <v>102</v>
      </c>
      <c r="L257" s="44">
        <v>394.29</v>
      </c>
      <c r="M257" s="44">
        <v>452.03</v>
      </c>
      <c r="N257" s="44">
        <v>57.74</v>
      </c>
      <c r="O257" s="42" t="s">
        <v>103</v>
      </c>
      <c r="P257" s="42">
        <v>0</v>
      </c>
      <c r="Q257" s="45">
        <f t="shared" si="6"/>
        <v>1.1464404372416241</v>
      </c>
      <c r="R257" s="46">
        <f t="shared" si="7"/>
        <v>0</v>
      </c>
    </row>
    <row r="258" spans="1:18" x14ac:dyDescent="0.2">
      <c r="A258" s="36" t="s">
        <v>881</v>
      </c>
      <c r="B258" s="36" t="s">
        <v>882</v>
      </c>
      <c r="C258" s="36" t="s">
        <v>883</v>
      </c>
      <c r="D258" s="40">
        <v>45882</v>
      </c>
      <c r="E258" s="36" t="s">
        <v>884</v>
      </c>
      <c r="F258" s="36" t="s">
        <v>25</v>
      </c>
      <c r="G258" s="36" t="s">
        <v>126</v>
      </c>
      <c r="H258" s="36" t="s">
        <v>34</v>
      </c>
      <c r="I258" s="36" t="s">
        <v>34</v>
      </c>
      <c r="J258" s="36" t="s">
        <v>121</v>
      </c>
      <c r="K258" s="36" t="s">
        <v>102</v>
      </c>
      <c r="L258" s="37">
        <v>231.7</v>
      </c>
      <c r="M258" s="37">
        <v>34.24</v>
      </c>
      <c r="N258" s="37">
        <v>-197.46</v>
      </c>
      <c r="O258" s="36" t="s">
        <v>103</v>
      </c>
      <c r="P258" s="36">
        <v>0</v>
      </c>
      <c r="Q258" s="41">
        <f t="shared" ref="Q258:Q321" si="8">IF(L258=0,0,M258/L258)</f>
        <v>0.14777729823047045</v>
      </c>
      <c r="R258" s="38">
        <f t="shared" ref="R258:R321" si="9">IF(O258="YES",30,0)+IF(Q258&gt;3,25,IF(Q258&gt;2,10,0))+IF(K258="No",20,0)+IF(L258&gt;1000,15,IF(L258&gt;500,7,0))+IF(G258="Unknown-Device",10,0)</f>
        <v>10</v>
      </c>
    </row>
    <row r="259" spans="1:18" x14ac:dyDescent="0.2">
      <c r="A259" s="42" t="s">
        <v>885</v>
      </c>
      <c r="B259" s="42" t="s">
        <v>176</v>
      </c>
      <c r="C259" s="42" t="s">
        <v>177</v>
      </c>
      <c r="D259" s="43">
        <v>45669</v>
      </c>
      <c r="E259" s="42" t="s">
        <v>886</v>
      </c>
      <c r="F259" s="42" t="s">
        <v>27</v>
      </c>
      <c r="G259" s="42" t="s">
        <v>131</v>
      </c>
      <c r="H259" s="42" t="s">
        <v>34</v>
      </c>
      <c r="I259" s="42" t="s">
        <v>34</v>
      </c>
      <c r="J259" s="42" t="s">
        <v>121</v>
      </c>
      <c r="K259" s="42" t="s">
        <v>102</v>
      </c>
      <c r="L259" s="44">
        <v>63.59</v>
      </c>
      <c r="M259" s="44">
        <v>111.93</v>
      </c>
      <c r="N259" s="44">
        <v>48.34</v>
      </c>
      <c r="O259" s="42" t="s">
        <v>103</v>
      </c>
      <c r="P259" s="42">
        <v>0</v>
      </c>
      <c r="Q259" s="45">
        <f t="shared" si="8"/>
        <v>1.7601824186192798</v>
      </c>
      <c r="R259" s="46">
        <f t="shared" si="9"/>
        <v>0</v>
      </c>
    </row>
    <row r="260" spans="1:18" x14ac:dyDescent="0.2">
      <c r="A260" s="36" t="s">
        <v>887</v>
      </c>
      <c r="B260" s="36" t="s">
        <v>888</v>
      </c>
      <c r="C260" s="36" t="s">
        <v>889</v>
      </c>
      <c r="D260" s="40">
        <v>45747</v>
      </c>
      <c r="E260" s="36" t="s">
        <v>890</v>
      </c>
      <c r="F260" s="36" t="s">
        <v>29</v>
      </c>
      <c r="G260" s="36" t="s">
        <v>131</v>
      </c>
      <c r="H260" s="36" t="s">
        <v>34</v>
      </c>
      <c r="I260" s="36" t="s">
        <v>34</v>
      </c>
      <c r="J260" s="36" t="s">
        <v>121</v>
      </c>
      <c r="K260" s="36" t="s">
        <v>102</v>
      </c>
      <c r="L260" s="37">
        <v>172.18</v>
      </c>
      <c r="M260" s="37">
        <v>161.51</v>
      </c>
      <c r="N260" s="37">
        <v>-10.67</v>
      </c>
      <c r="O260" s="36" t="s">
        <v>103</v>
      </c>
      <c r="P260" s="36">
        <v>0</v>
      </c>
      <c r="Q260" s="41">
        <f t="shared" si="8"/>
        <v>0.93802996863747234</v>
      </c>
      <c r="R260" s="38">
        <f t="shared" si="9"/>
        <v>0</v>
      </c>
    </row>
    <row r="261" spans="1:18" x14ac:dyDescent="0.2">
      <c r="A261" s="42" t="s">
        <v>891</v>
      </c>
      <c r="B261" s="42" t="s">
        <v>683</v>
      </c>
      <c r="C261" s="42" t="s">
        <v>684</v>
      </c>
      <c r="D261" s="43">
        <v>45980</v>
      </c>
      <c r="E261" s="42" t="s">
        <v>892</v>
      </c>
      <c r="F261" s="42" t="s">
        <v>25</v>
      </c>
      <c r="G261" s="42" t="s">
        <v>126</v>
      </c>
      <c r="H261" s="42" t="s">
        <v>23</v>
      </c>
      <c r="I261" s="42" t="s">
        <v>23</v>
      </c>
      <c r="J261" s="42" t="s">
        <v>101</v>
      </c>
      <c r="K261" s="42" t="s">
        <v>102</v>
      </c>
      <c r="L261" s="44">
        <v>323.83</v>
      </c>
      <c r="M261" s="44">
        <v>307.86</v>
      </c>
      <c r="N261" s="44">
        <v>-15.97</v>
      </c>
      <c r="O261" s="42" t="s">
        <v>103</v>
      </c>
      <c r="P261" s="42">
        <v>0</v>
      </c>
      <c r="Q261" s="45">
        <f t="shared" si="8"/>
        <v>0.95068400086465132</v>
      </c>
      <c r="R261" s="46">
        <f t="shared" si="9"/>
        <v>10</v>
      </c>
    </row>
    <row r="262" spans="1:18" x14ac:dyDescent="0.2">
      <c r="A262" s="36" t="s">
        <v>893</v>
      </c>
      <c r="B262" s="36" t="s">
        <v>268</v>
      </c>
      <c r="C262" s="36" t="s">
        <v>269</v>
      </c>
      <c r="D262" s="40">
        <v>45759</v>
      </c>
      <c r="E262" s="36" t="s">
        <v>894</v>
      </c>
      <c r="F262" s="36" t="s">
        <v>33</v>
      </c>
      <c r="G262" s="36" t="s">
        <v>131</v>
      </c>
      <c r="H262" s="36" t="s">
        <v>34</v>
      </c>
      <c r="I262" s="36" t="s">
        <v>34</v>
      </c>
      <c r="J262" s="36" t="s">
        <v>121</v>
      </c>
      <c r="K262" s="36" t="s">
        <v>102</v>
      </c>
      <c r="L262" s="37">
        <v>220.48</v>
      </c>
      <c r="M262" s="37">
        <v>2.16</v>
      </c>
      <c r="N262" s="37">
        <v>-218.32</v>
      </c>
      <c r="O262" s="36" t="s">
        <v>103</v>
      </c>
      <c r="P262" s="36">
        <v>0</v>
      </c>
      <c r="Q262" s="41">
        <f t="shared" si="8"/>
        <v>9.7968069666182888E-3</v>
      </c>
      <c r="R262" s="38">
        <f t="shared" si="9"/>
        <v>0</v>
      </c>
    </row>
    <row r="263" spans="1:18" x14ac:dyDescent="0.2">
      <c r="A263" s="42" t="s">
        <v>895</v>
      </c>
      <c r="B263" s="42" t="s">
        <v>503</v>
      </c>
      <c r="C263" s="42" t="s">
        <v>504</v>
      </c>
      <c r="D263" s="43">
        <v>46043</v>
      </c>
      <c r="E263" s="42" t="s">
        <v>896</v>
      </c>
      <c r="F263" s="42" t="s">
        <v>22</v>
      </c>
      <c r="G263" s="42" t="s">
        <v>108</v>
      </c>
      <c r="H263" s="42" t="s">
        <v>34</v>
      </c>
      <c r="I263" s="42" t="s">
        <v>34</v>
      </c>
      <c r="J263" s="42" t="s">
        <v>121</v>
      </c>
      <c r="K263" s="42" t="s">
        <v>103</v>
      </c>
      <c r="L263" s="44">
        <v>400.04</v>
      </c>
      <c r="M263" s="44">
        <v>508.12</v>
      </c>
      <c r="N263" s="44">
        <v>108.08</v>
      </c>
      <c r="O263" s="42" t="s">
        <v>103</v>
      </c>
      <c r="P263" s="42">
        <v>0</v>
      </c>
      <c r="Q263" s="45">
        <f t="shared" si="8"/>
        <v>1.2701729827017298</v>
      </c>
      <c r="R263" s="46">
        <f t="shared" si="9"/>
        <v>20</v>
      </c>
    </row>
    <row r="264" spans="1:18" x14ac:dyDescent="0.2">
      <c r="A264" s="36" t="s">
        <v>897</v>
      </c>
      <c r="B264" s="36" t="s">
        <v>669</v>
      </c>
      <c r="C264" s="36" t="s">
        <v>670</v>
      </c>
      <c r="D264" s="40">
        <v>45845</v>
      </c>
      <c r="E264" s="36" t="s">
        <v>898</v>
      </c>
      <c r="F264" s="36" t="s">
        <v>22</v>
      </c>
      <c r="G264" s="36" t="s">
        <v>114</v>
      </c>
      <c r="H264" s="36" t="s">
        <v>30</v>
      </c>
      <c r="I264" s="36" t="s">
        <v>30</v>
      </c>
      <c r="J264" s="36" t="s">
        <v>143</v>
      </c>
      <c r="K264" s="36" t="s">
        <v>102</v>
      </c>
      <c r="L264" s="37">
        <v>234.2</v>
      </c>
      <c r="M264" s="37">
        <v>135.16999999999999</v>
      </c>
      <c r="N264" s="37">
        <v>-99.03</v>
      </c>
      <c r="O264" s="36" t="s">
        <v>103</v>
      </c>
      <c r="P264" s="36">
        <v>3</v>
      </c>
      <c r="Q264" s="41">
        <f t="shared" si="8"/>
        <v>0.57715627668659264</v>
      </c>
      <c r="R264" s="38">
        <f t="shared" si="9"/>
        <v>0</v>
      </c>
    </row>
    <row r="265" spans="1:18" x14ac:dyDescent="0.2">
      <c r="A265" s="42" t="s">
        <v>899</v>
      </c>
      <c r="B265" s="42" t="s">
        <v>751</v>
      </c>
      <c r="C265" s="42" t="s">
        <v>752</v>
      </c>
      <c r="D265" s="43">
        <v>45985</v>
      </c>
      <c r="E265" s="42" t="s">
        <v>900</v>
      </c>
      <c r="F265" s="42" t="s">
        <v>25</v>
      </c>
      <c r="G265" s="42" t="s">
        <v>120</v>
      </c>
      <c r="H265" s="42" t="s">
        <v>34</v>
      </c>
      <c r="I265" s="42" t="s">
        <v>34</v>
      </c>
      <c r="J265" s="42" t="s">
        <v>121</v>
      </c>
      <c r="K265" s="42" t="s">
        <v>102</v>
      </c>
      <c r="L265" s="44">
        <v>200.43</v>
      </c>
      <c r="M265" s="44">
        <v>173.09</v>
      </c>
      <c r="N265" s="44">
        <v>-27.34</v>
      </c>
      <c r="O265" s="42" t="s">
        <v>103</v>
      </c>
      <c r="P265" s="42">
        <v>0</v>
      </c>
      <c r="Q265" s="45">
        <f t="shared" si="8"/>
        <v>0.86359327445991119</v>
      </c>
      <c r="R265" s="46">
        <f t="shared" si="9"/>
        <v>0</v>
      </c>
    </row>
    <row r="266" spans="1:18" x14ac:dyDescent="0.2">
      <c r="A266" s="36" t="s">
        <v>901</v>
      </c>
      <c r="B266" s="36" t="s">
        <v>443</v>
      </c>
      <c r="C266" s="36" t="s">
        <v>444</v>
      </c>
      <c r="D266" s="40">
        <v>45892</v>
      </c>
      <c r="E266" s="36" t="s">
        <v>902</v>
      </c>
      <c r="F266" s="36" t="s">
        <v>19</v>
      </c>
      <c r="G266" s="36" t="s">
        <v>108</v>
      </c>
      <c r="H266" s="36" t="s">
        <v>34</v>
      </c>
      <c r="I266" s="36" t="s">
        <v>34</v>
      </c>
      <c r="J266" s="36" t="s">
        <v>152</v>
      </c>
      <c r="K266" s="36" t="s">
        <v>102</v>
      </c>
      <c r="L266" s="37">
        <v>408.73</v>
      </c>
      <c r="M266" s="37">
        <v>634.83000000000004</v>
      </c>
      <c r="N266" s="37">
        <v>226.1</v>
      </c>
      <c r="O266" s="36" t="s">
        <v>103</v>
      </c>
      <c r="P266" s="36">
        <v>0</v>
      </c>
      <c r="Q266" s="41">
        <f t="shared" si="8"/>
        <v>1.5531769138551121</v>
      </c>
      <c r="R266" s="38">
        <f t="shared" si="9"/>
        <v>0</v>
      </c>
    </row>
    <row r="267" spans="1:18" x14ac:dyDescent="0.2">
      <c r="A267" s="42" t="s">
        <v>903</v>
      </c>
      <c r="B267" s="42" t="s">
        <v>850</v>
      </c>
      <c r="C267" s="42" t="s">
        <v>851</v>
      </c>
      <c r="D267" s="43">
        <v>45701</v>
      </c>
      <c r="E267" s="42" t="s">
        <v>904</v>
      </c>
      <c r="F267" s="42" t="s">
        <v>25</v>
      </c>
      <c r="G267" s="42" t="s">
        <v>131</v>
      </c>
      <c r="H267" s="42" t="s">
        <v>34</v>
      </c>
      <c r="I267" s="42" t="s">
        <v>34</v>
      </c>
      <c r="J267" s="42" t="s">
        <v>121</v>
      </c>
      <c r="K267" s="42" t="s">
        <v>102</v>
      </c>
      <c r="L267" s="44">
        <v>163.46</v>
      </c>
      <c r="M267" s="44">
        <v>85.79</v>
      </c>
      <c r="N267" s="44">
        <v>-77.67</v>
      </c>
      <c r="O267" s="42" t="s">
        <v>103</v>
      </c>
      <c r="P267" s="42">
        <v>1</v>
      </c>
      <c r="Q267" s="45">
        <f t="shared" si="8"/>
        <v>0.52483788082711369</v>
      </c>
      <c r="R267" s="46">
        <f t="shared" si="9"/>
        <v>0</v>
      </c>
    </row>
    <row r="268" spans="1:18" x14ac:dyDescent="0.2">
      <c r="A268" s="36" t="s">
        <v>905</v>
      </c>
      <c r="B268" s="36" t="s">
        <v>906</v>
      </c>
      <c r="C268" s="36" t="s">
        <v>907</v>
      </c>
      <c r="D268" s="40">
        <v>46013</v>
      </c>
      <c r="E268" s="36" t="s">
        <v>701</v>
      </c>
      <c r="F268" s="36" t="s">
        <v>31</v>
      </c>
      <c r="G268" s="36" t="s">
        <v>114</v>
      </c>
      <c r="H268" s="36" t="s">
        <v>34</v>
      </c>
      <c r="I268" s="36" t="s">
        <v>34</v>
      </c>
      <c r="J268" s="36" t="s">
        <v>188</v>
      </c>
      <c r="K268" s="36" t="s">
        <v>102</v>
      </c>
      <c r="L268" s="37">
        <v>200.35</v>
      </c>
      <c r="M268" s="37">
        <v>262.89</v>
      </c>
      <c r="N268" s="37">
        <v>62.54</v>
      </c>
      <c r="O268" s="36" t="s">
        <v>103</v>
      </c>
      <c r="P268" s="36">
        <v>1</v>
      </c>
      <c r="Q268" s="41">
        <f t="shared" si="8"/>
        <v>1.3121537309708011</v>
      </c>
      <c r="R268" s="38">
        <f t="shared" si="9"/>
        <v>0</v>
      </c>
    </row>
    <row r="269" spans="1:18" x14ac:dyDescent="0.2">
      <c r="A269" s="42" t="s">
        <v>908</v>
      </c>
      <c r="B269" s="42" t="s">
        <v>431</v>
      </c>
      <c r="C269" s="42" t="s">
        <v>432</v>
      </c>
      <c r="D269" s="43">
        <v>45753</v>
      </c>
      <c r="E269" s="42" t="s">
        <v>909</v>
      </c>
      <c r="F269" s="42" t="s">
        <v>33</v>
      </c>
      <c r="G269" s="42" t="s">
        <v>108</v>
      </c>
      <c r="H269" s="42" t="s">
        <v>26</v>
      </c>
      <c r="I269" s="42" t="s">
        <v>26</v>
      </c>
      <c r="J269" s="42" t="s">
        <v>303</v>
      </c>
      <c r="K269" s="42" t="s">
        <v>103</v>
      </c>
      <c r="L269" s="44">
        <v>273.32</v>
      </c>
      <c r="M269" s="44">
        <v>552.70000000000005</v>
      </c>
      <c r="N269" s="44">
        <v>279.38</v>
      </c>
      <c r="O269" s="42" t="s">
        <v>103</v>
      </c>
      <c r="P269" s="42">
        <v>1</v>
      </c>
      <c r="Q269" s="45">
        <f t="shared" si="8"/>
        <v>2.0221718132591837</v>
      </c>
      <c r="R269" s="46">
        <f t="shared" si="9"/>
        <v>30</v>
      </c>
    </row>
    <row r="270" spans="1:18" x14ac:dyDescent="0.2">
      <c r="A270" s="36" t="s">
        <v>910</v>
      </c>
      <c r="B270" s="36" t="s">
        <v>911</v>
      </c>
      <c r="C270" s="36" t="s">
        <v>912</v>
      </c>
      <c r="D270" s="40">
        <v>45908</v>
      </c>
      <c r="E270" s="36" t="s">
        <v>913</v>
      </c>
      <c r="F270" s="36" t="s">
        <v>31</v>
      </c>
      <c r="G270" s="36" t="s">
        <v>100</v>
      </c>
      <c r="H270" s="36" t="s">
        <v>34</v>
      </c>
      <c r="I270" s="36" t="s">
        <v>34</v>
      </c>
      <c r="J270" s="36" t="s">
        <v>121</v>
      </c>
      <c r="K270" s="36" t="s">
        <v>103</v>
      </c>
      <c r="L270" s="37">
        <v>101.68</v>
      </c>
      <c r="M270" s="37">
        <v>188.35</v>
      </c>
      <c r="N270" s="37">
        <v>86.67</v>
      </c>
      <c r="O270" s="36" t="s">
        <v>103</v>
      </c>
      <c r="P270" s="36">
        <v>0</v>
      </c>
      <c r="Q270" s="41">
        <f t="shared" si="8"/>
        <v>1.8523800157356411</v>
      </c>
      <c r="R270" s="38">
        <f t="shared" si="9"/>
        <v>20</v>
      </c>
    </row>
    <row r="271" spans="1:18" x14ac:dyDescent="0.2">
      <c r="A271" s="42" t="s">
        <v>914</v>
      </c>
      <c r="B271" s="42" t="s">
        <v>915</v>
      </c>
      <c r="C271" s="42" t="s">
        <v>916</v>
      </c>
      <c r="D271" s="43">
        <v>45662</v>
      </c>
      <c r="E271" s="42" t="s">
        <v>917</v>
      </c>
      <c r="F271" s="42" t="s">
        <v>31</v>
      </c>
      <c r="G271" s="42" t="s">
        <v>108</v>
      </c>
      <c r="H271" s="42" t="s">
        <v>34</v>
      </c>
      <c r="I271" s="42" t="s">
        <v>34</v>
      </c>
      <c r="J271" s="42" t="s">
        <v>121</v>
      </c>
      <c r="K271" s="42" t="s">
        <v>102</v>
      </c>
      <c r="L271" s="44">
        <v>105.61</v>
      </c>
      <c r="M271" s="44">
        <v>89.21</v>
      </c>
      <c r="N271" s="44">
        <v>-16.399999999999999</v>
      </c>
      <c r="O271" s="42" t="s">
        <v>103</v>
      </c>
      <c r="P271" s="42">
        <v>0</v>
      </c>
      <c r="Q271" s="45">
        <f t="shared" si="8"/>
        <v>0.8447116750307736</v>
      </c>
      <c r="R271" s="46">
        <f t="shared" si="9"/>
        <v>0</v>
      </c>
    </row>
    <row r="272" spans="1:18" x14ac:dyDescent="0.2">
      <c r="A272" s="36" t="s">
        <v>918</v>
      </c>
      <c r="B272" s="36" t="s">
        <v>610</v>
      </c>
      <c r="C272" s="36" t="s">
        <v>611</v>
      </c>
      <c r="D272" s="40">
        <v>45911</v>
      </c>
      <c r="E272" s="36" t="s">
        <v>230</v>
      </c>
      <c r="F272" s="36" t="s">
        <v>29</v>
      </c>
      <c r="G272" s="36" t="s">
        <v>114</v>
      </c>
      <c r="H272" s="36" t="s">
        <v>34</v>
      </c>
      <c r="I272" s="36" t="s">
        <v>34</v>
      </c>
      <c r="J272" s="36" t="s">
        <v>121</v>
      </c>
      <c r="K272" s="36" t="s">
        <v>102</v>
      </c>
      <c r="L272" s="37">
        <v>250.95</v>
      </c>
      <c r="M272" s="37">
        <v>392.06</v>
      </c>
      <c r="N272" s="37">
        <v>141.11000000000001</v>
      </c>
      <c r="O272" s="36" t="s">
        <v>103</v>
      </c>
      <c r="P272" s="36">
        <v>0</v>
      </c>
      <c r="Q272" s="41">
        <f t="shared" si="8"/>
        <v>1.5623032476588963</v>
      </c>
      <c r="R272" s="38">
        <f t="shared" si="9"/>
        <v>0</v>
      </c>
    </row>
    <row r="273" spans="1:18" x14ac:dyDescent="0.2">
      <c r="A273" s="42" t="s">
        <v>919</v>
      </c>
      <c r="B273" s="42" t="s">
        <v>911</v>
      </c>
      <c r="C273" s="42" t="s">
        <v>912</v>
      </c>
      <c r="D273" s="43">
        <v>45700</v>
      </c>
      <c r="E273" s="42" t="s">
        <v>920</v>
      </c>
      <c r="F273" s="42" t="s">
        <v>25</v>
      </c>
      <c r="G273" s="42" t="s">
        <v>120</v>
      </c>
      <c r="H273" s="42" t="s">
        <v>34</v>
      </c>
      <c r="I273" s="42" t="s">
        <v>34</v>
      </c>
      <c r="J273" s="42" t="s">
        <v>121</v>
      </c>
      <c r="K273" s="42" t="s">
        <v>103</v>
      </c>
      <c r="L273" s="44">
        <v>399.98</v>
      </c>
      <c r="M273" s="44">
        <v>194.06</v>
      </c>
      <c r="N273" s="44">
        <v>-205.92</v>
      </c>
      <c r="O273" s="42" t="s">
        <v>103</v>
      </c>
      <c r="P273" s="42">
        <v>0</v>
      </c>
      <c r="Q273" s="45">
        <f t="shared" si="8"/>
        <v>0.48517425871293562</v>
      </c>
      <c r="R273" s="46">
        <f t="shared" si="9"/>
        <v>20</v>
      </c>
    </row>
    <row r="274" spans="1:18" x14ac:dyDescent="0.2">
      <c r="A274" s="36" t="s">
        <v>921</v>
      </c>
      <c r="B274" s="36" t="s">
        <v>521</v>
      </c>
      <c r="C274" s="36" t="s">
        <v>522</v>
      </c>
      <c r="D274" s="40">
        <v>45933</v>
      </c>
      <c r="E274" s="36" t="s">
        <v>811</v>
      </c>
      <c r="F274" s="36" t="s">
        <v>22</v>
      </c>
      <c r="G274" s="36" t="s">
        <v>114</v>
      </c>
      <c r="H274" s="36" t="s">
        <v>34</v>
      </c>
      <c r="I274" s="36" t="s">
        <v>34</v>
      </c>
      <c r="J274" s="36" t="s">
        <v>152</v>
      </c>
      <c r="K274" s="36" t="s">
        <v>103</v>
      </c>
      <c r="L274" s="37">
        <v>392.56</v>
      </c>
      <c r="M274" s="37">
        <v>488.51</v>
      </c>
      <c r="N274" s="37">
        <v>95.95</v>
      </c>
      <c r="O274" s="36" t="s">
        <v>103</v>
      </c>
      <c r="P274" s="36">
        <v>2</v>
      </c>
      <c r="Q274" s="41">
        <f t="shared" si="8"/>
        <v>1.2444212349704504</v>
      </c>
      <c r="R274" s="38">
        <f t="shared" si="9"/>
        <v>20</v>
      </c>
    </row>
    <row r="275" spans="1:18" x14ac:dyDescent="0.2">
      <c r="A275" s="42" t="s">
        <v>922</v>
      </c>
      <c r="B275" s="42" t="s">
        <v>236</v>
      </c>
      <c r="C275" s="42" t="s">
        <v>237</v>
      </c>
      <c r="D275" s="43">
        <v>45919</v>
      </c>
      <c r="E275" s="42" t="s">
        <v>634</v>
      </c>
      <c r="F275" s="42" t="s">
        <v>22</v>
      </c>
      <c r="G275" s="42" t="s">
        <v>120</v>
      </c>
      <c r="H275" s="42" t="s">
        <v>34</v>
      </c>
      <c r="I275" s="42" t="s">
        <v>34</v>
      </c>
      <c r="J275" s="42" t="s">
        <v>188</v>
      </c>
      <c r="K275" s="42" t="s">
        <v>102</v>
      </c>
      <c r="L275" s="44">
        <v>65.959999999999994</v>
      </c>
      <c r="M275" s="44">
        <v>112.48</v>
      </c>
      <c r="N275" s="44">
        <v>46.52</v>
      </c>
      <c r="O275" s="42" t="s">
        <v>103</v>
      </c>
      <c r="P275" s="42">
        <v>1</v>
      </c>
      <c r="Q275" s="45">
        <f t="shared" si="8"/>
        <v>1.705275924802911</v>
      </c>
      <c r="R275" s="46">
        <f t="shared" si="9"/>
        <v>0</v>
      </c>
    </row>
    <row r="276" spans="1:18" x14ac:dyDescent="0.2">
      <c r="A276" s="36" t="s">
        <v>923</v>
      </c>
      <c r="B276" s="36" t="s">
        <v>924</v>
      </c>
      <c r="C276" s="36" t="s">
        <v>925</v>
      </c>
      <c r="D276" s="40">
        <v>46079</v>
      </c>
      <c r="E276" s="36" t="s">
        <v>926</v>
      </c>
      <c r="F276" s="36" t="s">
        <v>29</v>
      </c>
      <c r="G276" s="36" t="s">
        <v>100</v>
      </c>
      <c r="H276" s="36" t="s">
        <v>23</v>
      </c>
      <c r="I276" s="36" t="s">
        <v>23</v>
      </c>
      <c r="J276" s="36" t="s">
        <v>101</v>
      </c>
      <c r="K276" s="36" t="s">
        <v>102</v>
      </c>
      <c r="L276" s="37">
        <v>362.3</v>
      </c>
      <c r="M276" s="37">
        <v>435.48</v>
      </c>
      <c r="N276" s="37">
        <v>73.180000000000007</v>
      </c>
      <c r="O276" s="36" t="s">
        <v>103</v>
      </c>
      <c r="P276" s="36">
        <v>1</v>
      </c>
      <c r="Q276" s="41">
        <f t="shared" si="8"/>
        <v>1.2019873033397737</v>
      </c>
      <c r="R276" s="38">
        <f t="shared" si="9"/>
        <v>0</v>
      </c>
    </row>
    <row r="277" spans="1:18" x14ac:dyDescent="0.2">
      <c r="A277" s="42" t="s">
        <v>927</v>
      </c>
      <c r="B277" s="42" t="s">
        <v>928</v>
      </c>
      <c r="C277" s="42" t="s">
        <v>929</v>
      </c>
      <c r="D277" s="43">
        <v>46082</v>
      </c>
      <c r="E277" s="42" t="s">
        <v>930</v>
      </c>
      <c r="F277" s="42" t="s">
        <v>25</v>
      </c>
      <c r="G277" s="42" t="s">
        <v>114</v>
      </c>
      <c r="H277" s="42" t="s">
        <v>34</v>
      </c>
      <c r="I277" s="42" t="s">
        <v>34</v>
      </c>
      <c r="J277" s="42" t="s">
        <v>121</v>
      </c>
      <c r="K277" s="42" t="s">
        <v>102</v>
      </c>
      <c r="L277" s="44">
        <v>131.29</v>
      </c>
      <c r="M277" s="44">
        <v>252.68</v>
      </c>
      <c r="N277" s="44">
        <v>121.39</v>
      </c>
      <c r="O277" s="42" t="s">
        <v>103</v>
      </c>
      <c r="P277" s="42">
        <v>1</v>
      </c>
      <c r="Q277" s="45">
        <f t="shared" si="8"/>
        <v>1.9245944093228733</v>
      </c>
      <c r="R277" s="46">
        <f t="shared" si="9"/>
        <v>0</v>
      </c>
    </row>
    <row r="278" spans="1:18" x14ac:dyDescent="0.2">
      <c r="A278" s="36" t="s">
        <v>931</v>
      </c>
      <c r="B278" s="36" t="s">
        <v>216</v>
      </c>
      <c r="C278" s="36" t="s">
        <v>217</v>
      </c>
      <c r="D278" s="40">
        <v>45836</v>
      </c>
      <c r="E278" s="36" t="s">
        <v>932</v>
      </c>
      <c r="F278" s="36" t="s">
        <v>22</v>
      </c>
      <c r="G278" s="36" t="s">
        <v>131</v>
      </c>
      <c r="H278" s="36" t="s">
        <v>34</v>
      </c>
      <c r="I278" s="36" t="s">
        <v>34</v>
      </c>
      <c r="J278" s="36" t="s">
        <v>121</v>
      </c>
      <c r="K278" s="36" t="s">
        <v>102</v>
      </c>
      <c r="L278" s="37">
        <v>433.99</v>
      </c>
      <c r="M278" s="37">
        <v>112.08</v>
      </c>
      <c r="N278" s="37">
        <v>-321.91000000000003</v>
      </c>
      <c r="O278" s="36" t="s">
        <v>103</v>
      </c>
      <c r="P278" s="36">
        <v>0</v>
      </c>
      <c r="Q278" s="41">
        <f t="shared" si="8"/>
        <v>0.25825479849766125</v>
      </c>
      <c r="R278" s="38">
        <f t="shared" si="9"/>
        <v>0</v>
      </c>
    </row>
    <row r="279" spans="1:18" x14ac:dyDescent="0.2">
      <c r="A279" s="42" t="s">
        <v>933</v>
      </c>
      <c r="B279" s="42" t="s">
        <v>934</v>
      </c>
      <c r="C279" s="42" t="s">
        <v>935</v>
      </c>
      <c r="D279" s="43">
        <v>46073</v>
      </c>
      <c r="E279" s="42" t="s">
        <v>936</v>
      </c>
      <c r="F279" s="42" t="s">
        <v>31</v>
      </c>
      <c r="G279" s="42" t="s">
        <v>126</v>
      </c>
      <c r="H279" s="42" t="s">
        <v>34</v>
      </c>
      <c r="I279" s="42" t="s">
        <v>34</v>
      </c>
      <c r="J279" s="42" t="s">
        <v>152</v>
      </c>
      <c r="K279" s="42" t="s">
        <v>102</v>
      </c>
      <c r="L279" s="44">
        <v>347.68</v>
      </c>
      <c r="M279" s="44">
        <v>658.61</v>
      </c>
      <c r="N279" s="44">
        <v>310.93</v>
      </c>
      <c r="O279" s="42" t="s">
        <v>103</v>
      </c>
      <c r="P279" s="42">
        <v>2</v>
      </c>
      <c r="Q279" s="45">
        <f t="shared" si="8"/>
        <v>1.8942993557294063</v>
      </c>
      <c r="R279" s="46">
        <f t="shared" si="9"/>
        <v>10</v>
      </c>
    </row>
    <row r="280" spans="1:18" x14ac:dyDescent="0.2">
      <c r="A280" s="36" t="s">
        <v>937</v>
      </c>
      <c r="B280" s="36" t="s">
        <v>485</v>
      </c>
      <c r="C280" s="36" t="s">
        <v>486</v>
      </c>
      <c r="D280" s="40">
        <v>45742</v>
      </c>
      <c r="E280" s="36" t="s">
        <v>393</v>
      </c>
      <c r="F280" s="36" t="s">
        <v>22</v>
      </c>
      <c r="G280" s="36" t="s">
        <v>100</v>
      </c>
      <c r="H280" s="36" t="s">
        <v>34</v>
      </c>
      <c r="I280" s="36" t="s">
        <v>34</v>
      </c>
      <c r="J280" s="36" t="s">
        <v>188</v>
      </c>
      <c r="K280" s="36" t="s">
        <v>102</v>
      </c>
      <c r="L280" s="37">
        <v>394.58</v>
      </c>
      <c r="M280" s="37">
        <v>706.21</v>
      </c>
      <c r="N280" s="37">
        <v>311.63</v>
      </c>
      <c r="O280" s="36" t="s">
        <v>103</v>
      </c>
      <c r="P280" s="36">
        <v>0</v>
      </c>
      <c r="Q280" s="41">
        <f t="shared" si="8"/>
        <v>1.7897764711845507</v>
      </c>
      <c r="R280" s="38">
        <f t="shared" si="9"/>
        <v>0</v>
      </c>
    </row>
    <row r="281" spans="1:18" x14ac:dyDescent="0.2">
      <c r="A281" s="42" t="s">
        <v>938</v>
      </c>
      <c r="B281" s="42" t="s">
        <v>939</v>
      </c>
      <c r="C281" s="42" t="s">
        <v>940</v>
      </c>
      <c r="D281" s="43">
        <v>45837</v>
      </c>
      <c r="E281" s="42" t="s">
        <v>941</v>
      </c>
      <c r="F281" s="42" t="s">
        <v>27</v>
      </c>
      <c r="G281" s="42" t="s">
        <v>120</v>
      </c>
      <c r="H281" s="42" t="s">
        <v>20</v>
      </c>
      <c r="I281" s="42" t="s">
        <v>20</v>
      </c>
      <c r="J281" s="42" t="s">
        <v>183</v>
      </c>
      <c r="K281" s="42" t="s">
        <v>102</v>
      </c>
      <c r="L281" s="44">
        <v>302.45999999999998</v>
      </c>
      <c r="M281" s="44">
        <v>112.04</v>
      </c>
      <c r="N281" s="44">
        <v>-190.42</v>
      </c>
      <c r="O281" s="42" t="s">
        <v>103</v>
      </c>
      <c r="P281" s="42">
        <v>0</v>
      </c>
      <c r="Q281" s="45">
        <f t="shared" si="8"/>
        <v>0.37042914765588841</v>
      </c>
      <c r="R281" s="46">
        <f t="shared" si="9"/>
        <v>0</v>
      </c>
    </row>
    <row r="282" spans="1:18" x14ac:dyDescent="0.2">
      <c r="A282" s="36" t="s">
        <v>942</v>
      </c>
      <c r="B282" s="36" t="s">
        <v>943</v>
      </c>
      <c r="C282" s="36" t="s">
        <v>944</v>
      </c>
      <c r="D282" s="40">
        <v>45951</v>
      </c>
      <c r="E282" s="36" t="s">
        <v>945</v>
      </c>
      <c r="F282" s="36" t="s">
        <v>22</v>
      </c>
      <c r="G282" s="36" t="s">
        <v>100</v>
      </c>
      <c r="H282" s="36" t="s">
        <v>23</v>
      </c>
      <c r="I282" s="36" t="s">
        <v>23</v>
      </c>
      <c r="J282" s="36" t="s">
        <v>101</v>
      </c>
      <c r="K282" s="36" t="s">
        <v>103</v>
      </c>
      <c r="L282" s="37">
        <v>262.06</v>
      </c>
      <c r="M282" s="37">
        <v>518.97</v>
      </c>
      <c r="N282" s="37">
        <v>256.91000000000003</v>
      </c>
      <c r="O282" s="36" t="s">
        <v>103</v>
      </c>
      <c r="P282" s="36">
        <v>2</v>
      </c>
      <c r="Q282" s="41">
        <f t="shared" si="8"/>
        <v>1.9803480119056704</v>
      </c>
      <c r="R282" s="38">
        <f t="shared" si="9"/>
        <v>20</v>
      </c>
    </row>
    <row r="283" spans="1:18" x14ac:dyDescent="0.2">
      <c r="A283" s="42" t="s">
        <v>946</v>
      </c>
      <c r="B283" s="42" t="s">
        <v>947</v>
      </c>
      <c r="C283" s="42" t="s">
        <v>948</v>
      </c>
      <c r="D283" s="43">
        <v>46042</v>
      </c>
      <c r="E283" s="42" t="s">
        <v>876</v>
      </c>
      <c r="F283" s="42" t="s">
        <v>27</v>
      </c>
      <c r="G283" s="42" t="s">
        <v>131</v>
      </c>
      <c r="H283" s="42" t="s">
        <v>32</v>
      </c>
      <c r="I283" s="42" t="s">
        <v>32</v>
      </c>
      <c r="J283" s="42" t="s">
        <v>132</v>
      </c>
      <c r="K283" s="42" t="s">
        <v>103</v>
      </c>
      <c r="L283" s="44">
        <v>39.049999999999997</v>
      </c>
      <c r="M283" s="44">
        <v>23.82</v>
      </c>
      <c r="N283" s="44">
        <v>-15.23</v>
      </c>
      <c r="O283" s="42" t="s">
        <v>103</v>
      </c>
      <c r="P283" s="42">
        <v>0</v>
      </c>
      <c r="Q283" s="45">
        <f t="shared" si="8"/>
        <v>0.60998719590268891</v>
      </c>
      <c r="R283" s="46">
        <f t="shared" si="9"/>
        <v>20</v>
      </c>
    </row>
    <row r="284" spans="1:18" x14ac:dyDescent="0.2">
      <c r="A284" s="36" t="s">
        <v>949</v>
      </c>
      <c r="B284" s="36" t="s">
        <v>950</v>
      </c>
      <c r="C284" s="36" t="s">
        <v>951</v>
      </c>
      <c r="D284" s="40">
        <v>45725</v>
      </c>
      <c r="E284" s="36" t="s">
        <v>952</v>
      </c>
      <c r="F284" s="36" t="s">
        <v>22</v>
      </c>
      <c r="G284" s="36" t="s">
        <v>126</v>
      </c>
      <c r="H284" s="36" t="s">
        <v>23</v>
      </c>
      <c r="I284" s="36" t="s">
        <v>23</v>
      </c>
      <c r="J284" s="36" t="s">
        <v>101</v>
      </c>
      <c r="K284" s="36" t="s">
        <v>102</v>
      </c>
      <c r="L284" s="37">
        <v>358.58</v>
      </c>
      <c r="M284" s="37">
        <v>653.57000000000005</v>
      </c>
      <c r="N284" s="37">
        <v>294.99</v>
      </c>
      <c r="O284" s="36" t="s">
        <v>103</v>
      </c>
      <c r="P284" s="36">
        <v>0</v>
      </c>
      <c r="Q284" s="41">
        <f t="shared" si="8"/>
        <v>1.8226616096826374</v>
      </c>
      <c r="R284" s="38">
        <f t="shared" si="9"/>
        <v>10</v>
      </c>
    </row>
    <row r="285" spans="1:18" x14ac:dyDescent="0.2">
      <c r="A285" s="42" t="s">
        <v>953</v>
      </c>
      <c r="B285" s="42" t="s">
        <v>714</v>
      </c>
      <c r="C285" s="42" t="s">
        <v>715</v>
      </c>
      <c r="D285" s="43">
        <v>45908</v>
      </c>
      <c r="E285" s="42" t="s">
        <v>278</v>
      </c>
      <c r="F285" s="42" t="s">
        <v>29</v>
      </c>
      <c r="G285" s="42" t="s">
        <v>114</v>
      </c>
      <c r="H285" s="42" t="s">
        <v>34</v>
      </c>
      <c r="I285" s="42" t="s">
        <v>34</v>
      </c>
      <c r="J285" s="42" t="s">
        <v>115</v>
      </c>
      <c r="K285" s="42" t="s">
        <v>102</v>
      </c>
      <c r="L285" s="44">
        <v>319.88</v>
      </c>
      <c r="M285" s="44">
        <v>441.81</v>
      </c>
      <c r="N285" s="44">
        <v>121.93</v>
      </c>
      <c r="O285" s="42" t="s">
        <v>103</v>
      </c>
      <c r="P285" s="42">
        <v>1</v>
      </c>
      <c r="Q285" s="45">
        <f t="shared" si="8"/>
        <v>1.3811741903213706</v>
      </c>
      <c r="R285" s="46">
        <f t="shared" si="9"/>
        <v>0</v>
      </c>
    </row>
    <row r="286" spans="1:18" x14ac:dyDescent="0.2">
      <c r="A286" s="36" t="s">
        <v>954</v>
      </c>
      <c r="B286" s="36" t="s">
        <v>332</v>
      </c>
      <c r="C286" s="36" t="s">
        <v>333</v>
      </c>
      <c r="D286" s="40">
        <v>45982</v>
      </c>
      <c r="E286" s="36" t="s">
        <v>955</v>
      </c>
      <c r="F286" s="36" t="s">
        <v>19</v>
      </c>
      <c r="G286" s="36" t="s">
        <v>114</v>
      </c>
      <c r="H286" s="36" t="s">
        <v>34</v>
      </c>
      <c r="I286" s="36" t="s">
        <v>34</v>
      </c>
      <c r="J286" s="36" t="s">
        <v>152</v>
      </c>
      <c r="K286" s="36" t="s">
        <v>103</v>
      </c>
      <c r="L286" s="37">
        <v>262.64999999999998</v>
      </c>
      <c r="M286" s="37">
        <v>160.77000000000001</v>
      </c>
      <c r="N286" s="37">
        <v>-101.88</v>
      </c>
      <c r="O286" s="36" t="s">
        <v>103</v>
      </c>
      <c r="P286" s="36">
        <v>0</v>
      </c>
      <c r="Q286" s="41">
        <f t="shared" si="8"/>
        <v>0.61210736721873227</v>
      </c>
      <c r="R286" s="38">
        <f t="shared" si="9"/>
        <v>20</v>
      </c>
    </row>
    <row r="287" spans="1:18" x14ac:dyDescent="0.2">
      <c r="A287" s="42" t="s">
        <v>956</v>
      </c>
      <c r="B287" s="42" t="s">
        <v>290</v>
      </c>
      <c r="C287" s="42" t="s">
        <v>291</v>
      </c>
      <c r="D287" s="43">
        <v>45825</v>
      </c>
      <c r="E287" s="42" t="s">
        <v>957</v>
      </c>
      <c r="F287" s="42" t="s">
        <v>25</v>
      </c>
      <c r="G287" s="42" t="s">
        <v>126</v>
      </c>
      <c r="H287" s="42" t="s">
        <v>30</v>
      </c>
      <c r="I287" s="42" t="s">
        <v>30</v>
      </c>
      <c r="J287" s="42" t="s">
        <v>143</v>
      </c>
      <c r="K287" s="42" t="s">
        <v>103</v>
      </c>
      <c r="L287" s="44">
        <v>435.76</v>
      </c>
      <c r="M287" s="44">
        <v>812.16</v>
      </c>
      <c r="N287" s="44">
        <v>376.4</v>
      </c>
      <c r="O287" s="42" t="s">
        <v>103</v>
      </c>
      <c r="P287" s="42">
        <v>0</v>
      </c>
      <c r="Q287" s="45">
        <f t="shared" si="8"/>
        <v>1.8637782265467229</v>
      </c>
      <c r="R287" s="46">
        <f t="shared" si="9"/>
        <v>30</v>
      </c>
    </row>
    <row r="288" spans="1:18" x14ac:dyDescent="0.2">
      <c r="A288" s="36" t="s">
        <v>958</v>
      </c>
      <c r="B288" s="36" t="s">
        <v>959</v>
      </c>
      <c r="C288" s="36" t="s">
        <v>960</v>
      </c>
      <c r="D288" s="40">
        <v>45983</v>
      </c>
      <c r="E288" s="36" t="s">
        <v>961</v>
      </c>
      <c r="F288" s="36" t="s">
        <v>31</v>
      </c>
      <c r="G288" s="36" t="s">
        <v>114</v>
      </c>
      <c r="H288" s="36" t="s">
        <v>26</v>
      </c>
      <c r="I288" s="36" t="s">
        <v>26</v>
      </c>
      <c r="J288" s="36" t="s">
        <v>303</v>
      </c>
      <c r="K288" s="36" t="s">
        <v>103</v>
      </c>
      <c r="L288" s="37">
        <v>185.53</v>
      </c>
      <c r="M288" s="37">
        <v>25.85</v>
      </c>
      <c r="N288" s="37">
        <v>-159.68</v>
      </c>
      <c r="O288" s="36" t="s">
        <v>103</v>
      </c>
      <c r="P288" s="36">
        <v>0</v>
      </c>
      <c r="Q288" s="41">
        <f t="shared" si="8"/>
        <v>0.13933056648520456</v>
      </c>
      <c r="R288" s="38">
        <f t="shared" si="9"/>
        <v>20</v>
      </c>
    </row>
    <row r="289" spans="1:18" x14ac:dyDescent="0.2">
      <c r="A289" s="42" t="s">
        <v>962</v>
      </c>
      <c r="B289" s="42" t="s">
        <v>190</v>
      </c>
      <c r="C289" s="42" t="s">
        <v>191</v>
      </c>
      <c r="D289" s="43">
        <v>45877</v>
      </c>
      <c r="E289" s="42" t="s">
        <v>963</v>
      </c>
      <c r="F289" s="42" t="s">
        <v>19</v>
      </c>
      <c r="G289" s="42" t="s">
        <v>108</v>
      </c>
      <c r="H289" s="42" t="s">
        <v>32</v>
      </c>
      <c r="I289" s="42" t="s">
        <v>32</v>
      </c>
      <c r="J289" s="42" t="s">
        <v>132</v>
      </c>
      <c r="K289" s="42" t="s">
        <v>102</v>
      </c>
      <c r="L289" s="44">
        <v>141.58000000000001</v>
      </c>
      <c r="M289" s="44">
        <v>258.01</v>
      </c>
      <c r="N289" s="44">
        <v>116.43</v>
      </c>
      <c r="O289" s="42" t="s">
        <v>103</v>
      </c>
      <c r="P289" s="42">
        <v>0</v>
      </c>
      <c r="Q289" s="45">
        <f t="shared" si="8"/>
        <v>1.8223619155247914</v>
      </c>
      <c r="R289" s="46">
        <f t="shared" si="9"/>
        <v>0</v>
      </c>
    </row>
    <row r="290" spans="1:18" x14ac:dyDescent="0.2">
      <c r="A290" s="36" t="s">
        <v>964</v>
      </c>
      <c r="B290" s="36" t="s">
        <v>311</v>
      </c>
      <c r="C290" s="36" t="s">
        <v>312</v>
      </c>
      <c r="D290" s="40">
        <v>45724</v>
      </c>
      <c r="E290" s="36" t="s">
        <v>965</v>
      </c>
      <c r="F290" s="36" t="s">
        <v>27</v>
      </c>
      <c r="G290" s="36" t="s">
        <v>100</v>
      </c>
      <c r="H290" s="36" t="s">
        <v>30</v>
      </c>
      <c r="I290" s="36" t="s">
        <v>30</v>
      </c>
      <c r="J290" s="36" t="s">
        <v>143</v>
      </c>
      <c r="K290" s="36" t="s">
        <v>102</v>
      </c>
      <c r="L290" s="37">
        <v>247.82</v>
      </c>
      <c r="M290" s="37">
        <v>187.41</v>
      </c>
      <c r="N290" s="37">
        <v>-60.41</v>
      </c>
      <c r="O290" s="36" t="s">
        <v>103</v>
      </c>
      <c r="P290" s="36">
        <v>0</v>
      </c>
      <c r="Q290" s="41">
        <f t="shared" si="8"/>
        <v>0.75623436365103702</v>
      </c>
      <c r="R290" s="38">
        <f t="shared" si="9"/>
        <v>0</v>
      </c>
    </row>
    <row r="291" spans="1:18" x14ac:dyDescent="0.2">
      <c r="A291" s="42" t="s">
        <v>966</v>
      </c>
      <c r="B291" s="42" t="s">
        <v>224</v>
      </c>
      <c r="C291" s="42" t="s">
        <v>225</v>
      </c>
      <c r="D291" s="43">
        <v>45708</v>
      </c>
      <c r="E291" s="42" t="s">
        <v>967</v>
      </c>
      <c r="F291" s="42" t="s">
        <v>22</v>
      </c>
      <c r="G291" s="42" t="s">
        <v>131</v>
      </c>
      <c r="H291" s="42" t="s">
        <v>34</v>
      </c>
      <c r="I291" s="42" t="s">
        <v>34</v>
      </c>
      <c r="J291" s="42" t="s">
        <v>121</v>
      </c>
      <c r="K291" s="42" t="s">
        <v>102</v>
      </c>
      <c r="L291" s="44">
        <v>419.98</v>
      </c>
      <c r="M291" s="44">
        <v>15.04</v>
      </c>
      <c r="N291" s="44">
        <v>-404.94</v>
      </c>
      <c r="O291" s="42" t="s">
        <v>103</v>
      </c>
      <c r="P291" s="42">
        <v>1</v>
      </c>
      <c r="Q291" s="45">
        <f t="shared" si="8"/>
        <v>3.581122910614791E-2</v>
      </c>
      <c r="R291" s="46">
        <f t="shared" si="9"/>
        <v>0</v>
      </c>
    </row>
    <row r="292" spans="1:18" x14ac:dyDescent="0.2">
      <c r="A292" s="36" t="s">
        <v>968</v>
      </c>
      <c r="B292" s="36" t="s">
        <v>62</v>
      </c>
      <c r="C292" s="36" t="s">
        <v>63</v>
      </c>
      <c r="D292" s="40">
        <v>45891</v>
      </c>
      <c r="E292" s="36" t="s">
        <v>969</v>
      </c>
      <c r="F292" s="36" t="s">
        <v>22</v>
      </c>
      <c r="G292" s="36" t="s">
        <v>120</v>
      </c>
      <c r="H292" s="36" t="s">
        <v>34</v>
      </c>
      <c r="I292" s="36" t="s">
        <v>23</v>
      </c>
      <c r="J292" s="36" t="s">
        <v>143</v>
      </c>
      <c r="K292" s="36" t="s">
        <v>102</v>
      </c>
      <c r="L292" s="37">
        <v>8703.9699999999993</v>
      </c>
      <c r="M292" s="37">
        <v>22761.200000000001</v>
      </c>
      <c r="N292" s="37">
        <v>14057.23</v>
      </c>
      <c r="O292" s="36" t="s">
        <v>318</v>
      </c>
      <c r="P292" s="36">
        <v>0</v>
      </c>
      <c r="Q292" s="41">
        <f t="shared" si="8"/>
        <v>2.6150365867529417</v>
      </c>
      <c r="R292" s="38">
        <f t="shared" si="9"/>
        <v>55</v>
      </c>
    </row>
    <row r="293" spans="1:18" x14ac:dyDescent="0.2">
      <c r="A293" s="42" t="s">
        <v>970</v>
      </c>
      <c r="B293" s="42" t="s">
        <v>198</v>
      </c>
      <c r="C293" s="42" t="s">
        <v>199</v>
      </c>
      <c r="D293" s="43">
        <v>45993</v>
      </c>
      <c r="E293" s="42" t="s">
        <v>971</v>
      </c>
      <c r="F293" s="42" t="s">
        <v>27</v>
      </c>
      <c r="G293" s="42" t="s">
        <v>131</v>
      </c>
      <c r="H293" s="42" t="s">
        <v>28</v>
      </c>
      <c r="I293" s="42" t="s">
        <v>28</v>
      </c>
      <c r="J293" s="42" t="s">
        <v>109</v>
      </c>
      <c r="K293" s="42" t="s">
        <v>102</v>
      </c>
      <c r="L293" s="44">
        <v>50.39</v>
      </c>
      <c r="M293" s="44">
        <v>73.67</v>
      </c>
      <c r="N293" s="44">
        <v>23.28</v>
      </c>
      <c r="O293" s="42" t="s">
        <v>103</v>
      </c>
      <c r="P293" s="42">
        <v>0</v>
      </c>
      <c r="Q293" s="45">
        <f t="shared" si="8"/>
        <v>1.4619964278626711</v>
      </c>
      <c r="R293" s="46">
        <f t="shared" si="9"/>
        <v>0</v>
      </c>
    </row>
    <row r="294" spans="1:18" x14ac:dyDescent="0.2">
      <c r="A294" s="36" t="s">
        <v>972</v>
      </c>
      <c r="B294" s="36" t="s">
        <v>973</v>
      </c>
      <c r="C294" s="36" t="s">
        <v>974</v>
      </c>
      <c r="D294" s="40">
        <v>45860</v>
      </c>
      <c r="E294" s="36" t="s">
        <v>975</v>
      </c>
      <c r="F294" s="36" t="s">
        <v>29</v>
      </c>
      <c r="G294" s="36" t="s">
        <v>126</v>
      </c>
      <c r="H294" s="36" t="s">
        <v>34</v>
      </c>
      <c r="I294" s="36" t="s">
        <v>34</v>
      </c>
      <c r="J294" s="36" t="s">
        <v>121</v>
      </c>
      <c r="K294" s="36" t="s">
        <v>102</v>
      </c>
      <c r="L294" s="37">
        <v>365.73</v>
      </c>
      <c r="M294" s="37">
        <v>607.66</v>
      </c>
      <c r="N294" s="37">
        <v>241.93</v>
      </c>
      <c r="O294" s="36" t="s">
        <v>103</v>
      </c>
      <c r="P294" s="36">
        <v>2</v>
      </c>
      <c r="Q294" s="41">
        <f t="shared" si="8"/>
        <v>1.6614989199682824</v>
      </c>
      <c r="R294" s="38">
        <f t="shared" si="9"/>
        <v>10</v>
      </c>
    </row>
    <row r="295" spans="1:18" x14ac:dyDescent="0.2">
      <c r="A295" s="42" t="s">
        <v>976</v>
      </c>
      <c r="B295" s="42" t="s">
        <v>198</v>
      </c>
      <c r="C295" s="42" t="s">
        <v>199</v>
      </c>
      <c r="D295" s="43">
        <v>46018</v>
      </c>
      <c r="E295" s="42" t="s">
        <v>977</v>
      </c>
      <c r="F295" s="42" t="s">
        <v>31</v>
      </c>
      <c r="G295" s="42" t="s">
        <v>131</v>
      </c>
      <c r="H295" s="42" t="s">
        <v>28</v>
      </c>
      <c r="I295" s="42" t="s">
        <v>28</v>
      </c>
      <c r="J295" s="42" t="s">
        <v>109</v>
      </c>
      <c r="K295" s="42" t="s">
        <v>102</v>
      </c>
      <c r="L295" s="44">
        <v>114.58</v>
      </c>
      <c r="M295" s="44">
        <v>19.649999999999999</v>
      </c>
      <c r="N295" s="44">
        <v>-94.93</v>
      </c>
      <c r="O295" s="42" t="s">
        <v>103</v>
      </c>
      <c r="P295" s="42">
        <v>0</v>
      </c>
      <c r="Q295" s="45">
        <f t="shared" si="8"/>
        <v>0.17149589806248908</v>
      </c>
      <c r="R295" s="46">
        <f t="shared" si="9"/>
        <v>0</v>
      </c>
    </row>
    <row r="296" spans="1:18" x14ac:dyDescent="0.2">
      <c r="A296" s="36" t="s">
        <v>978</v>
      </c>
      <c r="B296" s="36" t="s">
        <v>888</v>
      </c>
      <c r="C296" s="36" t="s">
        <v>889</v>
      </c>
      <c r="D296" s="40">
        <v>46006</v>
      </c>
      <c r="E296" s="36" t="s">
        <v>979</v>
      </c>
      <c r="F296" s="36" t="s">
        <v>25</v>
      </c>
      <c r="G296" s="36" t="s">
        <v>114</v>
      </c>
      <c r="H296" s="36" t="s">
        <v>34</v>
      </c>
      <c r="I296" s="36" t="s">
        <v>34</v>
      </c>
      <c r="J296" s="36" t="s">
        <v>121</v>
      </c>
      <c r="K296" s="36" t="s">
        <v>102</v>
      </c>
      <c r="L296" s="37">
        <v>13.95</v>
      </c>
      <c r="M296" s="37">
        <v>10.54</v>
      </c>
      <c r="N296" s="37">
        <v>-3.41</v>
      </c>
      <c r="O296" s="36" t="s">
        <v>103</v>
      </c>
      <c r="P296" s="36">
        <v>0</v>
      </c>
      <c r="Q296" s="41">
        <f t="shared" si="8"/>
        <v>0.75555555555555554</v>
      </c>
      <c r="R296" s="38">
        <f t="shared" si="9"/>
        <v>0</v>
      </c>
    </row>
    <row r="297" spans="1:18" x14ac:dyDescent="0.2">
      <c r="A297" s="42" t="s">
        <v>980</v>
      </c>
      <c r="B297" s="42" t="s">
        <v>44</v>
      </c>
      <c r="C297" s="42" t="s">
        <v>45</v>
      </c>
      <c r="D297" s="43">
        <v>45725</v>
      </c>
      <c r="E297" s="42" t="s">
        <v>254</v>
      </c>
      <c r="F297" s="42" t="s">
        <v>19</v>
      </c>
      <c r="G297" s="42" t="s">
        <v>120</v>
      </c>
      <c r="H297" s="42" t="s">
        <v>34</v>
      </c>
      <c r="I297" s="42" t="s">
        <v>23</v>
      </c>
      <c r="J297" s="42" t="s">
        <v>101</v>
      </c>
      <c r="K297" s="42" t="s">
        <v>103</v>
      </c>
      <c r="L297" s="44">
        <v>7296.1</v>
      </c>
      <c r="M297" s="44">
        <v>15150.74</v>
      </c>
      <c r="N297" s="44">
        <v>7854.64</v>
      </c>
      <c r="O297" s="42" t="s">
        <v>318</v>
      </c>
      <c r="P297" s="42">
        <v>1</v>
      </c>
      <c r="Q297" s="45">
        <f t="shared" si="8"/>
        <v>2.076553227066515</v>
      </c>
      <c r="R297" s="46">
        <f t="shared" si="9"/>
        <v>75</v>
      </c>
    </row>
    <row r="298" spans="1:18" x14ac:dyDescent="0.2">
      <c r="A298" s="36" t="s">
        <v>981</v>
      </c>
      <c r="B298" s="36" t="s">
        <v>111</v>
      </c>
      <c r="C298" s="36" t="s">
        <v>112</v>
      </c>
      <c r="D298" s="40">
        <v>45728</v>
      </c>
      <c r="E298" s="36" t="s">
        <v>982</v>
      </c>
      <c r="F298" s="36" t="s">
        <v>27</v>
      </c>
      <c r="G298" s="36" t="s">
        <v>126</v>
      </c>
      <c r="H298" s="36" t="s">
        <v>34</v>
      </c>
      <c r="I298" s="36" t="s">
        <v>34</v>
      </c>
      <c r="J298" s="36" t="s">
        <v>115</v>
      </c>
      <c r="K298" s="36" t="s">
        <v>102</v>
      </c>
      <c r="L298" s="37">
        <v>408.55</v>
      </c>
      <c r="M298" s="37">
        <v>786.01</v>
      </c>
      <c r="N298" s="37">
        <v>377.46</v>
      </c>
      <c r="O298" s="36" t="s">
        <v>103</v>
      </c>
      <c r="P298" s="36">
        <v>2</v>
      </c>
      <c r="Q298" s="41">
        <f t="shared" si="8"/>
        <v>1.9239016032309386</v>
      </c>
      <c r="R298" s="38">
        <f t="shared" si="9"/>
        <v>10</v>
      </c>
    </row>
    <row r="299" spans="1:18" x14ac:dyDescent="0.2">
      <c r="A299" s="42" t="s">
        <v>983</v>
      </c>
      <c r="B299" s="42" t="s">
        <v>559</v>
      </c>
      <c r="C299" s="42" t="s">
        <v>560</v>
      </c>
      <c r="D299" s="43">
        <v>45693</v>
      </c>
      <c r="E299" s="42" t="s">
        <v>984</v>
      </c>
      <c r="F299" s="42" t="s">
        <v>29</v>
      </c>
      <c r="G299" s="42" t="s">
        <v>120</v>
      </c>
      <c r="H299" s="42" t="s">
        <v>34</v>
      </c>
      <c r="I299" s="42" t="s">
        <v>34</v>
      </c>
      <c r="J299" s="42" t="s">
        <v>152</v>
      </c>
      <c r="K299" s="42" t="s">
        <v>102</v>
      </c>
      <c r="L299" s="44">
        <v>14.15</v>
      </c>
      <c r="M299" s="44">
        <v>20.239999999999998</v>
      </c>
      <c r="N299" s="44">
        <v>6.09</v>
      </c>
      <c r="O299" s="42" t="s">
        <v>103</v>
      </c>
      <c r="P299" s="42">
        <v>0</v>
      </c>
      <c r="Q299" s="45">
        <f t="shared" si="8"/>
        <v>1.4303886925795051</v>
      </c>
      <c r="R299" s="46">
        <f t="shared" si="9"/>
        <v>0</v>
      </c>
    </row>
    <row r="300" spans="1:18" x14ac:dyDescent="0.2">
      <c r="A300" s="36" t="s">
        <v>985</v>
      </c>
      <c r="B300" s="36" t="s">
        <v>244</v>
      </c>
      <c r="C300" s="36" t="s">
        <v>245</v>
      </c>
      <c r="D300" s="40">
        <v>45767</v>
      </c>
      <c r="E300" s="36" t="s">
        <v>986</v>
      </c>
      <c r="F300" s="36" t="s">
        <v>27</v>
      </c>
      <c r="G300" s="36" t="s">
        <v>114</v>
      </c>
      <c r="H300" s="36" t="s">
        <v>34</v>
      </c>
      <c r="I300" s="36" t="s">
        <v>34</v>
      </c>
      <c r="J300" s="36" t="s">
        <v>115</v>
      </c>
      <c r="K300" s="36" t="s">
        <v>103</v>
      </c>
      <c r="L300" s="37">
        <v>84.17</v>
      </c>
      <c r="M300" s="37">
        <v>76.239999999999995</v>
      </c>
      <c r="N300" s="37">
        <v>-7.93</v>
      </c>
      <c r="O300" s="36" t="s">
        <v>103</v>
      </c>
      <c r="P300" s="36">
        <v>0</v>
      </c>
      <c r="Q300" s="41">
        <f t="shared" si="8"/>
        <v>0.90578590946893189</v>
      </c>
      <c r="R300" s="38">
        <f t="shared" si="9"/>
        <v>20</v>
      </c>
    </row>
    <row r="301" spans="1:18" x14ac:dyDescent="0.2">
      <c r="A301" s="42" t="s">
        <v>987</v>
      </c>
      <c r="B301" s="42" t="s">
        <v>190</v>
      </c>
      <c r="C301" s="42" t="s">
        <v>191</v>
      </c>
      <c r="D301" s="43">
        <v>45702</v>
      </c>
      <c r="E301" s="42" t="s">
        <v>513</v>
      </c>
      <c r="F301" s="42" t="s">
        <v>29</v>
      </c>
      <c r="G301" s="42" t="s">
        <v>120</v>
      </c>
      <c r="H301" s="42" t="s">
        <v>32</v>
      </c>
      <c r="I301" s="42" t="s">
        <v>32</v>
      </c>
      <c r="J301" s="42" t="s">
        <v>132</v>
      </c>
      <c r="K301" s="42" t="s">
        <v>102</v>
      </c>
      <c r="L301" s="44">
        <v>378.7</v>
      </c>
      <c r="M301" s="44">
        <v>491.2</v>
      </c>
      <c r="N301" s="44">
        <v>112.5</v>
      </c>
      <c r="O301" s="42" t="s">
        <v>103</v>
      </c>
      <c r="P301" s="42">
        <v>0</v>
      </c>
      <c r="Q301" s="45">
        <f t="shared" si="8"/>
        <v>1.2970689199894376</v>
      </c>
      <c r="R301" s="46">
        <f t="shared" si="9"/>
        <v>0</v>
      </c>
    </row>
    <row r="302" spans="1:18" x14ac:dyDescent="0.2">
      <c r="A302" s="36" t="s">
        <v>988</v>
      </c>
      <c r="B302" s="36" t="s">
        <v>485</v>
      </c>
      <c r="C302" s="36" t="s">
        <v>486</v>
      </c>
      <c r="D302" s="40">
        <v>45819</v>
      </c>
      <c r="E302" s="36" t="s">
        <v>989</v>
      </c>
      <c r="F302" s="36" t="s">
        <v>31</v>
      </c>
      <c r="G302" s="36" t="s">
        <v>108</v>
      </c>
      <c r="H302" s="36" t="s">
        <v>34</v>
      </c>
      <c r="I302" s="36" t="s">
        <v>34</v>
      </c>
      <c r="J302" s="36" t="s">
        <v>188</v>
      </c>
      <c r="K302" s="36" t="s">
        <v>102</v>
      </c>
      <c r="L302" s="37">
        <v>145.71</v>
      </c>
      <c r="M302" s="37">
        <v>27.01</v>
      </c>
      <c r="N302" s="37">
        <v>-118.7</v>
      </c>
      <c r="O302" s="36" t="s">
        <v>103</v>
      </c>
      <c r="P302" s="36">
        <v>0</v>
      </c>
      <c r="Q302" s="41">
        <f t="shared" si="8"/>
        <v>0.1853681971038364</v>
      </c>
      <c r="R302" s="38">
        <f t="shared" si="9"/>
        <v>0</v>
      </c>
    </row>
    <row r="303" spans="1:18" x14ac:dyDescent="0.2">
      <c r="A303" s="42" t="s">
        <v>990</v>
      </c>
      <c r="B303" s="42" t="s">
        <v>735</v>
      </c>
      <c r="C303" s="42" t="s">
        <v>736</v>
      </c>
      <c r="D303" s="43">
        <v>46027</v>
      </c>
      <c r="E303" s="42" t="s">
        <v>399</v>
      </c>
      <c r="F303" s="42" t="s">
        <v>22</v>
      </c>
      <c r="G303" s="42" t="s">
        <v>126</v>
      </c>
      <c r="H303" s="42" t="s">
        <v>30</v>
      </c>
      <c r="I303" s="42" t="s">
        <v>30</v>
      </c>
      <c r="J303" s="42" t="s">
        <v>143</v>
      </c>
      <c r="K303" s="42" t="s">
        <v>102</v>
      </c>
      <c r="L303" s="44">
        <v>391.7</v>
      </c>
      <c r="M303" s="44">
        <v>595.01</v>
      </c>
      <c r="N303" s="44">
        <v>203.31</v>
      </c>
      <c r="O303" s="42" t="s">
        <v>103</v>
      </c>
      <c r="P303" s="42">
        <v>0</v>
      </c>
      <c r="Q303" s="45">
        <f t="shared" si="8"/>
        <v>1.5190451876436049</v>
      </c>
      <c r="R303" s="46">
        <f t="shared" si="9"/>
        <v>10</v>
      </c>
    </row>
    <row r="304" spans="1:18" x14ac:dyDescent="0.2">
      <c r="A304" s="36" t="s">
        <v>991</v>
      </c>
      <c r="B304" s="36" t="s">
        <v>172</v>
      </c>
      <c r="C304" s="36" t="s">
        <v>173</v>
      </c>
      <c r="D304" s="40">
        <v>45763</v>
      </c>
      <c r="E304" s="36" t="s">
        <v>992</v>
      </c>
      <c r="F304" s="36" t="s">
        <v>19</v>
      </c>
      <c r="G304" s="36" t="s">
        <v>126</v>
      </c>
      <c r="H304" s="36" t="s">
        <v>30</v>
      </c>
      <c r="I304" s="36" t="s">
        <v>30</v>
      </c>
      <c r="J304" s="36" t="s">
        <v>143</v>
      </c>
      <c r="K304" s="36" t="s">
        <v>102</v>
      </c>
      <c r="L304" s="37">
        <v>259.67</v>
      </c>
      <c r="M304" s="37">
        <v>427.22</v>
      </c>
      <c r="N304" s="37">
        <v>167.55</v>
      </c>
      <c r="O304" s="36" t="s">
        <v>103</v>
      </c>
      <c r="P304" s="36">
        <v>0</v>
      </c>
      <c r="Q304" s="41">
        <f t="shared" si="8"/>
        <v>1.6452420379712713</v>
      </c>
      <c r="R304" s="38">
        <f t="shared" si="9"/>
        <v>10</v>
      </c>
    </row>
    <row r="305" spans="1:18" x14ac:dyDescent="0.2">
      <c r="A305" s="42" t="s">
        <v>993</v>
      </c>
      <c r="B305" s="42" t="s">
        <v>973</v>
      </c>
      <c r="C305" s="42" t="s">
        <v>974</v>
      </c>
      <c r="D305" s="43">
        <v>46059</v>
      </c>
      <c r="E305" s="42" t="s">
        <v>777</v>
      </c>
      <c r="F305" s="42" t="s">
        <v>27</v>
      </c>
      <c r="G305" s="42" t="s">
        <v>108</v>
      </c>
      <c r="H305" s="42" t="s">
        <v>34</v>
      </c>
      <c r="I305" s="42" t="s">
        <v>34</v>
      </c>
      <c r="J305" s="42" t="s">
        <v>121</v>
      </c>
      <c r="K305" s="42" t="s">
        <v>102</v>
      </c>
      <c r="L305" s="44">
        <v>199.08</v>
      </c>
      <c r="M305" s="44">
        <v>105.59</v>
      </c>
      <c r="N305" s="44">
        <v>-93.49</v>
      </c>
      <c r="O305" s="42" t="s">
        <v>103</v>
      </c>
      <c r="P305" s="42">
        <v>2</v>
      </c>
      <c r="Q305" s="45">
        <f t="shared" si="8"/>
        <v>0.53038979304802092</v>
      </c>
      <c r="R305" s="46">
        <f t="shared" si="9"/>
        <v>0</v>
      </c>
    </row>
    <row r="306" spans="1:18" x14ac:dyDescent="0.2">
      <c r="A306" s="36" t="s">
        <v>994</v>
      </c>
      <c r="B306" s="36" t="s">
        <v>307</v>
      </c>
      <c r="C306" s="36" t="s">
        <v>308</v>
      </c>
      <c r="D306" s="40">
        <v>45928</v>
      </c>
      <c r="E306" s="36" t="s">
        <v>604</v>
      </c>
      <c r="F306" s="36" t="s">
        <v>22</v>
      </c>
      <c r="G306" s="36" t="s">
        <v>108</v>
      </c>
      <c r="H306" s="36" t="s">
        <v>26</v>
      </c>
      <c r="I306" s="36" t="s">
        <v>26</v>
      </c>
      <c r="J306" s="36" t="s">
        <v>303</v>
      </c>
      <c r="K306" s="36" t="s">
        <v>102</v>
      </c>
      <c r="L306" s="37">
        <v>467.62</v>
      </c>
      <c r="M306" s="37">
        <v>135.78</v>
      </c>
      <c r="N306" s="37">
        <v>-331.84</v>
      </c>
      <c r="O306" s="36" t="s">
        <v>103</v>
      </c>
      <c r="P306" s="36">
        <v>0</v>
      </c>
      <c r="Q306" s="41">
        <f t="shared" si="8"/>
        <v>0.2903639707454771</v>
      </c>
      <c r="R306" s="38">
        <f t="shared" si="9"/>
        <v>0</v>
      </c>
    </row>
    <row r="307" spans="1:18" x14ac:dyDescent="0.2">
      <c r="A307" s="42" t="s">
        <v>995</v>
      </c>
      <c r="B307" s="42" t="s">
        <v>571</v>
      </c>
      <c r="C307" s="42" t="s">
        <v>572</v>
      </c>
      <c r="D307" s="43">
        <v>45845</v>
      </c>
      <c r="E307" s="42" t="s">
        <v>996</v>
      </c>
      <c r="F307" s="42" t="s">
        <v>22</v>
      </c>
      <c r="G307" s="42" t="s">
        <v>100</v>
      </c>
      <c r="H307" s="42" t="s">
        <v>34</v>
      </c>
      <c r="I307" s="42" t="s">
        <v>34</v>
      </c>
      <c r="J307" s="42" t="s">
        <v>188</v>
      </c>
      <c r="K307" s="42" t="s">
        <v>103</v>
      </c>
      <c r="L307" s="44">
        <v>94.66</v>
      </c>
      <c r="M307" s="44">
        <v>98.09</v>
      </c>
      <c r="N307" s="44">
        <v>3.43</v>
      </c>
      <c r="O307" s="42" t="s">
        <v>103</v>
      </c>
      <c r="P307" s="42">
        <v>0</v>
      </c>
      <c r="Q307" s="45">
        <f t="shared" si="8"/>
        <v>1.0362349461229665</v>
      </c>
      <c r="R307" s="46">
        <f t="shared" si="9"/>
        <v>20</v>
      </c>
    </row>
    <row r="308" spans="1:18" x14ac:dyDescent="0.2">
      <c r="A308" s="36" t="s">
        <v>997</v>
      </c>
      <c r="B308" s="36" t="s">
        <v>427</v>
      </c>
      <c r="C308" s="36" t="s">
        <v>428</v>
      </c>
      <c r="D308" s="40">
        <v>45958</v>
      </c>
      <c r="E308" s="36" t="s">
        <v>998</v>
      </c>
      <c r="F308" s="36" t="s">
        <v>25</v>
      </c>
      <c r="G308" s="36" t="s">
        <v>114</v>
      </c>
      <c r="H308" s="36" t="s">
        <v>34</v>
      </c>
      <c r="I308" s="36" t="s">
        <v>34</v>
      </c>
      <c r="J308" s="36" t="s">
        <v>121</v>
      </c>
      <c r="K308" s="36" t="s">
        <v>102</v>
      </c>
      <c r="L308" s="37">
        <v>138.47</v>
      </c>
      <c r="M308" s="37">
        <v>12.13</v>
      </c>
      <c r="N308" s="37">
        <v>-126.34</v>
      </c>
      <c r="O308" s="36" t="s">
        <v>103</v>
      </c>
      <c r="P308" s="36">
        <v>0</v>
      </c>
      <c r="Q308" s="41">
        <f t="shared" si="8"/>
        <v>8.7600202209864961E-2</v>
      </c>
      <c r="R308" s="38">
        <f t="shared" si="9"/>
        <v>0</v>
      </c>
    </row>
    <row r="309" spans="1:18" x14ac:dyDescent="0.2">
      <c r="A309" s="42" t="s">
        <v>999</v>
      </c>
      <c r="B309" s="42" t="s">
        <v>356</v>
      </c>
      <c r="C309" s="42" t="s">
        <v>357</v>
      </c>
      <c r="D309" s="43">
        <v>45804</v>
      </c>
      <c r="E309" s="42" t="s">
        <v>1000</v>
      </c>
      <c r="F309" s="42" t="s">
        <v>27</v>
      </c>
      <c r="G309" s="42" t="s">
        <v>114</v>
      </c>
      <c r="H309" s="42" t="s">
        <v>28</v>
      </c>
      <c r="I309" s="42" t="s">
        <v>28</v>
      </c>
      <c r="J309" s="42" t="s">
        <v>109</v>
      </c>
      <c r="K309" s="42" t="s">
        <v>102</v>
      </c>
      <c r="L309" s="44">
        <v>255.51</v>
      </c>
      <c r="M309" s="44">
        <v>233.52</v>
      </c>
      <c r="N309" s="44">
        <v>-21.99</v>
      </c>
      <c r="O309" s="42" t="s">
        <v>103</v>
      </c>
      <c r="P309" s="42">
        <v>0</v>
      </c>
      <c r="Q309" s="45">
        <f t="shared" si="8"/>
        <v>0.91393683221791722</v>
      </c>
      <c r="R309" s="46">
        <f t="shared" si="9"/>
        <v>0</v>
      </c>
    </row>
    <row r="310" spans="1:18" x14ac:dyDescent="0.2">
      <c r="A310" s="36" t="s">
        <v>1001</v>
      </c>
      <c r="B310" s="36" t="s">
        <v>1002</v>
      </c>
      <c r="C310" s="36" t="s">
        <v>1003</v>
      </c>
      <c r="D310" s="40">
        <v>45985</v>
      </c>
      <c r="E310" s="36" t="s">
        <v>1004</v>
      </c>
      <c r="F310" s="36" t="s">
        <v>19</v>
      </c>
      <c r="G310" s="36" t="s">
        <v>100</v>
      </c>
      <c r="H310" s="36" t="s">
        <v>34</v>
      </c>
      <c r="I310" s="36" t="s">
        <v>34</v>
      </c>
      <c r="J310" s="36" t="s">
        <v>121</v>
      </c>
      <c r="K310" s="36" t="s">
        <v>102</v>
      </c>
      <c r="L310" s="37">
        <v>311.86</v>
      </c>
      <c r="M310" s="37">
        <v>190.37</v>
      </c>
      <c r="N310" s="37">
        <v>-121.49</v>
      </c>
      <c r="O310" s="36" t="s">
        <v>103</v>
      </c>
      <c r="P310" s="36">
        <v>0</v>
      </c>
      <c r="Q310" s="41">
        <f t="shared" si="8"/>
        <v>0.61043416917847748</v>
      </c>
      <c r="R310" s="38">
        <f t="shared" si="9"/>
        <v>0</v>
      </c>
    </row>
    <row r="311" spans="1:18" x14ac:dyDescent="0.2">
      <c r="A311" s="42" t="s">
        <v>1005</v>
      </c>
      <c r="B311" s="42" t="s">
        <v>324</v>
      </c>
      <c r="C311" s="42" t="s">
        <v>325</v>
      </c>
      <c r="D311" s="43">
        <v>45762</v>
      </c>
      <c r="E311" s="42" t="s">
        <v>210</v>
      </c>
      <c r="F311" s="42" t="s">
        <v>22</v>
      </c>
      <c r="G311" s="42" t="s">
        <v>126</v>
      </c>
      <c r="H311" s="42" t="s">
        <v>20</v>
      </c>
      <c r="I311" s="42" t="s">
        <v>20</v>
      </c>
      <c r="J311" s="42" t="s">
        <v>183</v>
      </c>
      <c r="K311" s="42" t="s">
        <v>102</v>
      </c>
      <c r="L311" s="44">
        <v>170.11</v>
      </c>
      <c r="M311" s="44">
        <v>219.47</v>
      </c>
      <c r="N311" s="44">
        <v>49.36</v>
      </c>
      <c r="O311" s="42" t="s">
        <v>103</v>
      </c>
      <c r="P311" s="42">
        <v>2</v>
      </c>
      <c r="Q311" s="45">
        <f t="shared" si="8"/>
        <v>1.2901651872317912</v>
      </c>
      <c r="R311" s="46">
        <f t="shared" si="9"/>
        <v>10</v>
      </c>
    </row>
    <row r="312" spans="1:18" x14ac:dyDescent="0.2">
      <c r="A312" s="36" t="s">
        <v>1006</v>
      </c>
      <c r="B312" s="36" t="s">
        <v>336</v>
      </c>
      <c r="C312" s="36" t="s">
        <v>337</v>
      </c>
      <c r="D312" s="40">
        <v>45987</v>
      </c>
      <c r="E312" s="36" t="s">
        <v>1007</v>
      </c>
      <c r="F312" s="36" t="s">
        <v>22</v>
      </c>
      <c r="G312" s="36" t="s">
        <v>131</v>
      </c>
      <c r="H312" s="36" t="s">
        <v>34</v>
      </c>
      <c r="I312" s="36" t="s">
        <v>34</v>
      </c>
      <c r="J312" s="36" t="s">
        <v>121</v>
      </c>
      <c r="K312" s="36" t="s">
        <v>103</v>
      </c>
      <c r="L312" s="37">
        <v>352.35</v>
      </c>
      <c r="M312" s="37">
        <v>565.84</v>
      </c>
      <c r="N312" s="37">
        <v>213.49</v>
      </c>
      <c r="O312" s="36" t="s">
        <v>103</v>
      </c>
      <c r="P312" s="36">
        <v>0</v>
      </c>
      <c r="Q312" s="41">
        <f t="shared" si="8"/>
        <v>1.6059032212288917</v>
      </c>
      <c r="R312" s="38">
        <f t="shared" si="9"/>
        <v>20</v>
      </c>
    </row>
    <row r="313" spans="1:18" x14ac:dyDescent="0.2">
      <c r="A313" s="42" t="s">
        <v>1008</v>
      </c>
      <c r="B313" s="42" t="s">
        <v>52</v>
      </c>
      <c r="C313" s="42" t="s">
        <v>53</v>
      </c>
      <c r="D313" s="43">
        <v>45783</v>
      </c>
      <c r="E313" s="42" t="s">
        <v>1009</v>
      </c>
      <c r="F313" s="42" t="s">
        <v>27</v>
      </c>
      <c r="G313" s="42" t="s">
        <v>126</v>
      </c>
      <c r="H313" s="42" t="s">
        <v>32</v>
      </c>
      <c r="I313" s="42" t="s">
        <v>30</v>
      </c>
      <c r="J313" s="42" t="s">
        <v>109</v>
      </c>
      <c r="K313" s="42" t="s">
        <v>102</v>
      </c>
      <c r="L313" s="44">
        <v>6194.36</v>
      </c>
      <c r="M313" s="44">
        <v>12070.19</v>
      </c>
      <c r="N313" s="44">
        <v>5875.83</v>
      </c>
      <c r="O313" s="42" t="s">
        <v>318</v>
      </c>
      <c r="P313" s="42">
        <v>1</v>
      </c>
      <c r="Q313" s="45">
        <f t="shared" si="8"/>
        <v>1.9485774155844997</v>
      </c>
      <c r="R313" s="46">
        <f t="shared" si="9"/>
        <v>55</v>
      </c>
    </row>
    <row r="314" spans="1:18" x14ac:dyDescent="0.2">
      <c r="A314" s="36" t="s">
        <v>1010</v>
      </c>
      <c r="B314" s="36" t="s">
        <v>1011</v>
      </c>
      <c r="C314" s="36" t="s">
        <v>1012</v>
      </c>
      <c r="D314" s="40">
        <v>46037</v>
      </c>
      <c r="E314" s="36" t="s">
        <v>1013</v>
      </c>
      <c r="F314" s="36" t="s">
        <v>25</v>
      </c>
      <c r="G314" s="36" t="s">
        <v>131</v>
      </c>
      <c r="H314" s="36" t="s">
        <v>34</v>
      </c>
      <c r="I314" s="36" t="s">
        <v>34</v>
      </c>
      <c r="J314" s="36" t="s">
        <v>121</v>
      </c>
      <c r="K314" s="36" t="s">
        <v>102</v>
      </c>
      <c r="L314" s="37">
        <v>16.21</v>
      </c>
      <c r="M314" s="37">
        <v>4.8899999999999997</v>
      </c>
      <c r="N314" s="37">
        <v>-11.32</v>
      </c>
      <c r="O314" s="36" t="s">
        <v>103</v>
      </c>
      <c r="P314" s="36">
        <v>1</v>
      </c>
      <c r="Q314" s="41">
        <f t="shared" si="8"/>
        <v>0.30166563849475631</v>
      </c>
      <c r="R314" s="38">
        <f t="shared" si="9"/>
        <v>0</v>
      </c>
    </row>
    <row r="315" spans="1:18" x14ac:dyDescent="0.2">
      <c r="A315" s="42" t="s">
        <v>1014</v>
      </c>
      <c r="B315" s="42" t="s">
        <v>1015</v>
      </c>
      <c r="C315" s="42" t="s">
        <v>1016</v>
      </c>
      <c r="D315" s="43">
        <v>45835</v>
      </c>
      <c r="E315" s="42" t="s">
        <v>1017</v>
      </c>
      <c r="F315" s="42" t="s">
        <v>33</v>
      </c>
      <c r="G315" s="42" t="s">
        <v>120</v>
      </c>
      <c r="H315" s="42" t="s">
        <v>34</v>
      </c>
      <c r="I315" s="42" t="s">
        <v>34</v>
      </c>
      <c r="J315" s="42" t="s">
        <v>121</v>
      </c>
      <c r="K315" s="42" t="s">
        <v>102</v>
      </c>
      <c r="L315" s="44">
        <v>393.66</v>
      </c>
      <c r="M315" s="44">
        <v>624.22</v>
      </c>
      <c r="N315" s="44">
        <v>230.56</v>
      </c>
      <c r="O315" s="42" t="s">
        <v>103</v>
      </c>
      <c r="P315" s="42">
        <v>0</v>
      </c>
      <c r="Q315" s="45">
        <f t="shared" si="8"/>
        <v>1.5856830767667529</v>
      </c>
      <c r="R315" s="46">
        <f t="shared" si="9"/>
        <v>0</v>
      </c>
    </row>
    <row r="316" spans="1:18" x14ac:dyDescent="0.2">
      <c r="A316" s="36" t="s">
        <v>1018</v>
      </c>
      <c r="B316" s="36" t="s">
        <v>1019</v>
      </c>
      <c r="C316" s="36" t="s">
        <v>1020</v>
      </c>
      <c r="D316" s="40">
        <v>46041</v>
      </c>
      <c r="E316" s="36" t="s">
        <v>1021</v>
      </c>
      <c r="F316" s="36" t="s">
        <v>25</v>
      </c>
      <c r="G316" s="36" t="s">
        <v>120</v>
      </c>
      <c r="H316" s="36" t="s">
        <v>34</v>
      </c>
      <c r="I316" s="36" t="s">
        <v>34</v>
      </c>
      <c r="J316" s="36" t="s">
        <v>115</v>
      </c>
      <c r="K316" s="36" t="s">
        <v>103</v>
      </c>
      <c r="L316" s="37">
        <v>444.34</v>
      </c>
      <c r="M316" s="37">
        <v>754.11</v>
      </c>
      <c r="N316" s="37">
        <v>309.77</v>
      </c>
      <c r="O316" s="36" t="s">
        <v>103</v>
      </c>
      <c r="P316" s="36">
        <v>0</v>
      </c>
      <c r="Q316" s="41">
        <f t="shared" si="8"/>
        <v>1.6971463293874061</v>
      </c>
      <c r="R316" s="38">
        <f t="shared" si="9"/>
        <v>20</v>
      </c>
    </row>
    <row r="317" spans="1:18" x14ac:dyDescent="0.2">
      <c r="A317" s="42" t="s">
        <v>1022</v>
      </c>
      <c r="B317" s="42" t="s">
        <v>485</v>
      </c>
      <c r="C317" s="42" t="s">
        <v>486</v>
      </c>
      <c r="D317" s="43">
        <v>45797</v>
      </c>
      <c r="E317" s="42" t="s">
        <v>344</v>
      </c>
      <c r="F317" s="42" t="s">
        <v>27</v>
      </c>
      <c r="G317" s="42" t="s">
        <v>100</v>
      </c>
      <c r="H317" s="42" t="s">
        <v>34</v>
      </c>
      <c r="I317" s="42" t="s">
        <v>34</v>
      </c>
      <c r="J317" s="42" t="s">
        <v>188</v>
      </c>
      <c r="K317" s="42" t="s">
        <v>102</v>
      </c>
      <c r="L317" s="44">
        <v>138.85</v>
      </c>
      <c r="M317" s="44">
        <v>297.85000000000002</v>
      </c>
      <c r="N317" s="44">
        <v>159</v>
      </c>
      <c r="O317" s="42" t="s">
        <v>103</v>
      </c>
      <c r="P317" s="42">
        <v>0</v>
      </c>
      <c r="Q317" s="45">
        <f t="shared" si="8"/>
        <v>2.145120633777458</v>
      </c>
      <c r="R317" s="46">
        <f t="shared" si="9"/>
        <v>10</v>
      </c>
    </row>
    <row r="318" spans="1:18" x14ac:dyDescent="0.2">
      <c r="A318" s="36" t="s">
        <v>1023</v>
      </c>
      <c r="B318" s="36" t="s">
        <v>1015</v>
      </c>
      <c r="C318" s="36" t="s">
        <v>1016</v>
      </c>
      <c r="D318" s="40">
        <v>45891</v>
      </c>
      <c r="E318" s="36" t="s">
        <v>1024</v>
      </c>
      <c r="F318" s="36" t="s">
        <v>33</v>
      </c>
      <c r="G318" s="36" t="s">
        <v>120</v>
      </c>
      <c r="H318" s="36" t="s">
        <v>34</v>
      </c>
      <c r="I318" s="36" t="s">
        <v>34</v>
      </c>
      <c r="J318" s="36" t="s">
        <v>121</v>
      </c>
      <c r="K318" s="36" t="s">
        <v>102</v>
      </c>
      <c r="L318" s="37">
        <v>37.17</v>
      </c>
      <c r="M318" s="37">
        <v>70.27</v>
      </c>
      <c r="N318" s="37">
        <v>33.1</v>
      </c>
      <c r="O318" s="36" t="s">
        <v>103</v>
      </c>
      <c r="P318" s="36">
        <v>0</v>
      </c>
      <c r="Q318" s="41">
        <f t="shared" si="8"/>
        <v>1.8905030938929241</v>
      </c>
      <c r="R318" s="38">
        <f t="shared" si="9"/>
        <v>0</v>
      </c>
    </row>
    <row r="319" spans="1:18" x14ac:dyDescent="0.2">
      <c r="A319" s="42" t="s">
        <v>1025</v>
      </c>
      <c r="B319" s="42" t="s">
        <v>517</v>
      </c>
      <c r="C319" s="42" t="s">
        <v>518</v>
      </c>
      <c r="D319" s="43">
        <v>45788</v>
      </c>
      <c r="E319" s="42" t="s">
        <v>1026</v>
      </c>
      <c r="F319" s="42" t="s">
        <v>33</v>
      </c>
      <c r="G319" s="42" t="s">
        <v>126</v>
      </c>
      <c r="H319" s="42" t="s">
        <v>34</v>
      </c>
      <c r="I319" s="42" t="s">
        <v>34</v>
      </c>
      <c r="J319" s="42" t="s">
        <v>121</v>
      </c>
      <c r="K319" s="42" t="s">
        <v>102</v>
      </c>
      <c r="L319" s="44">
        <v>291.22000000000003</v>
      </c>
      <c r="M319" s="44">
        <v>463.07</v>
      </c>
      <c r="N319" s="44">
        <v>171.85</v>
      </c>
      <c r="O319" s="42" t="s">
        <v>103</v>
      </c>
      <c r="P319" s="42">
        <v>0</v>
      </c>
      <c r="Q319" s="45">
        <f t="shared" si="8"/>
        <v>1.5901037016688413</v>
      </c>
      <c r="R319" s="46">
        <f t="shared" si="9"/>
        <v>10</v>
      </c>
    </row>
    <row r="320" spans="1:18" x14ac:dyDescent="0.2">
      <c r="A320" s="36" t="s">
        <v>1027</v>
      </c>
      <c r="B320" s="36" t="s">
        <v>324</v>
      </c>
      <c r="C320" s="36" t="s">
        <v>325</v>
      </c>
      <c r="D320" s="40">
        <v>45659</v>
      </c>
      <c r="E320" s="36" t="s">
        <v>1028</v>
      </c>
      <c r="F320" s="36" t="s">
        <v>29</v>
      </c>
      <c r="G320" s="36" t="s">
        <v>120</v>
      </c>
      <c r="H320" s="36" t="s">
        <v>20</v>
      </c>
      <c r="I320" s="36" t="s">
        <v>20</v>
      </c>
      <c r="J320" s="36" t="s">
        <v>183</v>
      </c>
      <c r="K320" s="36" t="s">
        <v>102</v>
      </c>
      <c r="L320" s="37">
        <v>432.83</v>
      </c>
      <c r="M320" s="37">
        <v>232.87</v>
      </c>
      <c r="N320" s="37">
        <v>-199.96</v>
      </c>
      <c r="O320" s="36" t="s">
        <v>103</v>
      </c>
      <c r="P320" s="36">
        <v>2</v>
      </c>
      <c r="Q320" s="41">
        <f t="shared" si="8"/>
        <v>0.53801723540420032</v>
      </c>
      <c r="R320" s="38">
        <f t="shared" si="9"/>
        <v>0</v>
      </c>
    </row>
    <row r="321" spans="1:18" x14ac:dyDescent="0.2">
      <c r="A321" s="42" t="s">
        <v>1029</v>
      </c>
      <c r="B321" s="42" t="s">
        <v>46</v>
      </c>
      <c r="C321" s="42" t="s">
        <v>47</v>
      </c>
      <c r="D321" s="43">
        <v>45734</v>
      </c>
      <c r="E321" s="42" t="s">
        <v>1030</v>
      </c>
      <c r="F321" s="42" t="s">
        <v>27</v>
      </c>
      <c r="G321" s="42" t="s">
        <v>126</v>
      </c>
      <c r="H321" s="42" t="s">
        <v>23</v>
      </c>
      <c r="I321" s="42" t="s">
        <v>28</v>
      </c>
      <c r="J321" s="42" t="s">
        <v>101</v>
      </c>
      <c r="K321" s="42" t="s">
        <v>102</v>
      </c>
      <c r="L321" s="44">
        <v>5641.64</v>
      </c>
      <c r="M321" s="44">
        <v>24076.59</v>
      </c>
      <c r="N321" s="44">
        <v>18434.95</v>
      </c>
      <c r="O321" s="42" t="s">
        <v>318</v>
      </c>
      <c r="P321" s="42">
        <v>1</v>
      </c>
      <c r="Q321" s="45">
        <f t="shared" si="8"/>
        <v>4.2676579859757089</v>
      </c>
      <c r="R321" s="46">
        <f t="shared" si="9"/>
        <v>80</v>
      </c>
    </row>
    <row r="322" spans="1:18" x14ac:dyDescent="0.2">
      <c r="A322" s="36" t="s">
        <v>1031</v>
      </c>
      <c r="B322" s="36" t="s">
        <v>571</v>
      </c>
      <c r="C322" s="36" t="s">
        <v>572</v>
      </c>
      <c r="D322" s="40">
        <v>45772</v>
      </c>
      <c r="E322" s="36" t="s">
        <v>1032</v>
      </c>
      <c r="F322" s="36" t="s">
        <v>19</v>
      </c>
      <c r="G322" s="36" t="s">
        <v>100</v>
      </c>
      <c r="H322" s="36" t="s">
        <v>34</v>
      </c>
      <c r="I322" s="36" t="s">
        <v>34</v>
      </c>
      <c r="J322" s="36" t="s">
        <v>188</v>
      </c>
      <c r="K322" s="36" t="s">
        <v>103</v>
      </c>
      <c r="L322" s="37">
        <v>213.97</v>
      </c>
      <c r="M322" s="37">
        <v>339.06</v>
      </c>
      <c r="N322" s="37">
        <v>125.09</v>
      </c>
      <c r="O322" s="36" t="s">
        <v>103</v>
      </c>
      <c r="P322" s="36">
        <v>0</v>
      </c>
      <c r="Q322" s="41">
        <f t="shared" ref="Q322:Q385" si="10">IF(L322=0,0,M322/L322)</f>
        <v>1.5846146656073281</v>
      </c>
      <c r="R322" s="38">
        <f t="shared" ref="R322:R385" si="11">IF(O322="YES",30,0)+IF(Q322&gt;3,25,IF(Q322&gt;2,10,0))+IF(K322="No",20,0)+IF(L322&gt;1000,15,IF(L322&gt;500,7,0))+IF(G322="Unknown-Device",10,0)</f>
        <v>20</v>
      </c>
    </row>
    <row r="323" spans="1:18" x14ac:dyDescent="0.2">
      <c r="A323" s="42" t="s">
        <v>1033</v>
      </c>
      <c r="B323" s="42" t="s">
        <v>1034</v>
      </c>
      <c r="C323" s="42" t="s">
        <v>1035</v>
      </c>
      <c r="D323" s="43">
        <v>45848</v>
      </c>
      <c r="E323" s="42" t="s">
        <v>391</v>
      </c>
      <c r="F323" s="42" t="s">
        <v>33</v>
      </c>
      <c r="G323" s="42" t="s">
        <v>108</v>
      </c>
      <c r="H323" s="42" t="s">
        <v>34</v>
      </c>
      <c r="I323" s="42" t="s">
        <v>34</v>
      </c>
      <c r="J323" s="42" t="s">
        <v>121</v>
      </c>
      <c r="K323" s="42" t="s">
        <v>103</v>
      </c>
      <c r="L323" s="44">
        <v>339.93</v>
      </c>
      <c r="M323" s="44">
        <v>39.39</v>
      </c>
      <c r="N323" s="44">
        <v>-300.54000000000002</v>
      </c>
      <c r="O323" s="42" t="s">
        <v>103</v>
      </c>
      <c r="P323" s="42">
        <v>0</v>
      </c>
      <c r="Q323" s="45">
        <f t="shared" si="10"/>
        <v>0.11587679816432794</v>
      </c>
      <c r="R323" s="46">
        <f t="shared" si="11"/>
        <v>20</v>
      </c>
    </row>
    <row r="324" spans="1:18" x14ac:dyDescent="0.2">
      <c r="A324" s="36" t="s">
        <v>1036</v>
      </c>
      <c r="B324" s="36" t="s">
        <v>224</v>
      </c>
      <c r="C324" s="36" t="s">
        <v>225</v>
      </c>
      <c r="D324" s="40">
        <v>45863</v>
      </c>
      <c r="E324" s="36" t="s">
        <v>1037</v>
      </c>
      <c r="F324" s="36" t="s">
        <v>22</v>
      </c>
      <c r="G324" s="36" t="s">
        <v>120</v>
      </c>
      <c r="H324" s="36" t="s">
        <v>34</v>
      </c>
      <c r="I324" s="36" t="s">
        <v>34</v>
      </c>
      <c r="J324" s="36" t="s">
        <v>121</v>
      </c>
      <c r="K324" s="36" t="s">
        <v>102</v>
      </c>
      <c r="L324" s="37">
        <v>237.9</v>
      </c>
      <c r="M324" s="37">
        <v>147.75</v>
      </c>
      <c r="N324" s="37">
        <v>-90.15</v>
      </c>
      <c r="O324" s="36" t="s">
        <v>103</v>
      </c>
      <c r="P324" s="36">
        <v>1</v>
      </c>
      <c r="Q324" s="41">
        <f t="shared" si="10"/>
        <v>0.62105926860025218</v>
      </c>
      <c r="R324" s="38">
        <f t="shared" si="11"/>
        <v>0</v>
      </c>
    </row>
    <row r="325" spans="1:18" x14ac:dyDescent="0.2">
      <c r="A325" s="42" t="s">
        <v>1038</v>
      </c>
      <c r="B325" s="42" t="s">
        <v>145</v>
      </c>
      <c r="C325" s="42" t="s">
        <v>146</v>
      </c>
      <c r="D325" s="43">
        <v>45702</v>
      </c>
      <c r="E325" s="42" t="s">
        <v>1039</v>
      </c>
      <c r="F325" s="42" t="s">
        <v>31</v>
      </c>
      <c r="G325" s="42" t="s">
        <v>120</v>
      </c>
      <c r="H325" s="42" t="s">
        <v>34</v>
      </c>
      <c r="I325" s="42" t="s">
        <v>34</v>
      </c>
      <c r="J325" s="42" t="s">
        <v>121</v>
      </c>
      <c r="K325" s="42" t="s">
        <v>102</v>
      </c>
      <c r="L325" s="44">
        <v>13.9</v>
      </c>
      <c r="M325" s="44">
        <v>6.14</v>
      </c>
      <c r="N325" s="44">
        <v>-7.76</v>
      </c>
      <c r="O325" s="42" t="s">
        <v>103</v>
      </c>
      <c r="P325" s="42">
        <v>2</v>
      </c>
      <c r="Q325" s="45">
        <f t="shared" si="10"/>
        <v>0.44172661870503593</v>
      </c>
      <c r="R325" s="46">
        <f t="shared" si="11"/>
        <v>0</v>
      </c>
    </row>
    <row r="326" spans="1:18" x14ac:dyDescent="0.2">
      <c r="A326" s="36" t="s">
        <v>1040</v>
      </c>
      <c r="B326" s="36" t="s">
        <v>654</v>
      </c>
      <c r="C326" s="36" t="s">
        <v>655</v>
      </c>
      <c r="D326" s="40">
        <v>45976</v>
      </c>
      <c r="E326" s="36" t="s">
        <v>99</v>
      </c>
      <c r="F326" s="36" t="s">
        <v>22</v>
      </c>
      <c r="G326" s="36" t="s">
        <v>131</v>
      </c>
      <c r="H326" s="36" t="s">
        <v>30</v>
      </c>
      <c r="I326" s="36" t="s">
        <v>30</v>
      </c>
      <c r="J326" s="36" t="s">
        <v>143</v>
      </c>
      <c r="K326" s="36" t="s">
        <v>102</v>
      </c>
      <c r="L326" s="37">
        <v>190.45</v>
      </c>
      <c r="M326" s="37">
        <v>407.2</v>
      </c>
      <c r="N326" s="37">
        <v>216.75</v>
      </c>
      <c r="O326" s="36" t="s">
        <v>103</v>
      </c>
      <c r="P326" s="36">
        <v>0</v>
      </c>
      <c r="Q326" s="41">
        <f t="shared" si="10"/>
        <v>2.1380939879233396</v>
      </c>
      <c r="R326" s="38">
        <f t="shared" si="11"/>
        <v>10</v>
      </c>
    </row>
    <row r="327" spans="1:18" x14ac:dyDescent="0.2">
      <c r="A327" s="42" t="s">
        <v>1041</v>
      </c>
      <c r="B327" s="42" t="s">
        <v>1042</v>
      </c>
      <c r="C327" s="42" t="s">
        <v>1043</v>
      </c>
      <c r="D327" s="43">
        <v>45937</v>
      </c>
      <c r="E327" s="42" t="s">
        <v>952</v>
      </c>
      <c r="F327" s="42" t="s">
        <v>33</v>
      </c>
      <c r="G327" s="42" t="s">
        <v>108</v>
      </c>
      <c r="H327" s="42" t="s">
        <v>23</v>
      </c>
      <c r="I327" s="42" t="s">
        <v>23</v>
      </c>
      <c r="J327" s="42" t="s">
        <v>101</v>
      </c>
      <c r="K327" s="42" t="s">
        <v>103</v>
      </c>
      <c r="L327" s="44">
        <v>13.13</v>
      </c>
      <c r="M327" s="44">
        <v>11.84</v>
      </c>
      <c r="N327" s="44">
        <v>-1.29</v>
      </c>
      <c r="O327" s="42" t="s">
        <v>103</v>
      </c>
      <c r="P327" s="42">
        <v>1</v>
      </c>
      <c r="Q327" s="45">
        <f t="shared" si="10"/>
        <v>0.90175171363290174</v>
      </c>
      <c r="R327" s="46">
        <f t="shared" si="11"/>
        <v>20</v>
      </c>
    </row>
    <row r="328" spans="1:18" x14ac:dyDescent="0.2">
      <c r="A328" s="36" t="s">
        <v>1044</v>
      </c>
      <c r="B328" s="36" t="s">
        <v>535</v>
      </c>
      <c r="C328" s="36" t="s">
        <v>536</v>
      </c>
      <c r="D328" s="40">
        <v>45983</v>
      </c>
      <c r="E328" s="36" t="s">
        <v>1045</v>
      </c>
      <c r="F328" s="36" t="s">
        <v>22</v>
      </c>
      <c r="G328" s="36" t="s">
        <v>126</v>
      </c>
      <c r="H328" s="36" t="s">
        <v>28</v>
      </c>
      <c r="I328" s="36" t="s">
        <v>28</v>
      </c>
      <c r="J328" s="36" t="s">
        <v>109</v>
      </c>
      <c r="K328" s="36" t="s">
        <v>102</v>
      </c>
      <c r="L328" s="37">
        <v>14.7</v>
      </c>
      <c r="M328" s="37">
        <v>10.83</v>
      </c>
      <c r="N328" s="37">
        <v>-3.87</v>
      </c>
      <c r="O328" s="36" t="s">
        <v>103</v>
      </c>
      <c r="P328" s="36">
        <v>0</v>
      </c>
      <c r="Q328" s="41">
        <f t="shared" si="10"/>
        <v>0.73673469387755108</v>
      </c>
      <c r="R328" s="38">
        <f t="shared" si="11"/>
        <v>10</v>
      </c>
    </row>
    <row r="329" spans="1:18" x14ac:dyDescent="0.2">
      <c r="A329" s="42" t="s">
        <v>1046</v>
      </c>
      <c r="B329" s="42" t="s">
        <v>1047</v>
      </c>
      <c r="C329" s="42" t="s">
        <v>1048</v>
      </c>
      <c r="D329" s="43">
        <v>46035</v>
      </c>
      <c r="E329" s="42" t="s">
        <v>1049</v>
      </c>
      <c r="F329" s="42" t="s">
        <v>33</v>
      </c>
      <c r="G329" s="42" t="s">
        <v>114</v>
      </c>
      <c r="H329" s="42" t="s">
        <v>34</v>
      </c>
      <c r="I329" s="42" t="s">
        <v>34</v>
      </c>
      <c r="J329" s="42" t="s">
        <v>115</v>
      </c>
      <c r="K329" s="42" t="s">
        <v>102</v>
      </c>
      <c r="L329" s="44">
        <v>60.94</v>
      </c>
      <c r="M329" s="44">
        <v>71.03</v>
      </c>
      <c r="N329" s="44">
        <v>10.09</v>
      </c>
      <c r="O329" s="42" t="s">
        <v>103</v>
      </c>
      <c r="P329" s="42">
        <v>0</v>
      </c>
      <c r="Q329" s="45">
        <f t="shared" si="10"/>
        <v>1.1655726944535609</v>
      </c>
      <c r="R329" s="46">
        <f t="shared" si="11"/>
        <v>0</v>
      </c>
    </row>
    <row r="330" spans="1:18" x14ac:dyDescent="0.2">
      <c r="A330" s="36" t="s">
        <v>1050</v>
      </c>
      <c r="B330" s="36" t="s">
        <v>511</v>
      </c>
      <c r="C330" s="36" t="s">
        <v>512</v>
      </c>
      <c r="D330" s="40">
        <v>45688</v>
      </c>
      <c r="E330" s="36" t="s">
        <v>1051</v>
      </c>
      <c r="F330" s="36" t="s">
        <v>33</v>
      </c>
      <c r="G330" s="36" t="s">
        <v>108</v>
      </c>
      <c r="H330" s="36" t="s">
        <v>34</v>
      </c>
      <c r="I330" s="36" t="s">
        <v>34</v>
      </c>
      <c r="J330" s="36" t="s">
        <v>152</v>
      </c>
      <c r="K330" s="36" t="s">
        <v>102</v>
      </c>
      <c r="L330" s="37">
        <v>147.11000000000001</v>
      </c>
      <c r="M330" s="37">
        <v>14.21</v>
      </c>
      <c r="N330" s="37">
        <v>-132.9</v>
      </c>
      <c r="O330" s="36" t="s">
        <v>103</v>
      </c>
      <c r="P330" s="36">
        <v>1</v>
      </c>
      <c r="Q330" s="41">
        <f t="shared" si="10"/>
        <v>9.6594385153966414E-2</v>
      </c>
      <c r="R330" s="38">
        <f t="shared" si="11"/>
        <v>0</v>
      </c>
    </row>
    <row r="331" spans="1:18" x14ac:dyDescent="0.2">
      <c r="A331" s="42" t="s">
        <v>1052</v>
      </c>
      <c r="B331" s="42" t="s">
        <v>1053</v>
      </c>
      <c r="C331" s="42" t="s">
        <v>1054</v>
      </c>
      <c r="D331" s="43">
        <v>46016</v>
      </c>
      <c r="E331" s="42" t="s">
        <v>527</v>
      </c>
      <c r="F331" s="42" t="s">
        <v>25</v>
      </c>
      <c r="G331" s="42" t="s">
        <v>108</v>
      </c>
      <c r="H331" s="42" t="s">
        <v>30</v>
      </c>
      <c r="I331" s="42" t="s">
        <v>30</v>
      </c>
      <c r="J331" s="42" t="s">
        <v>143</v>
      </c>
      <c r="K331" s="42" t="s">
        <v>102</v>
      </c>
      <c r="L331" s="44">
        <v>487.53</v>
      </c>
      <c r="M331" s="44">
        <v>91.06</v>
      </c>
      <c r="N331" s="44">
        <v>-396.47</v>
      </c>
      <c r="O331" s="42" t="s">
        <v>103</v>
      </c>
      <c r="P331" s="42">
        <v>0</v>
      </c>
      <c r="Q331" s="45">
        <f t="shared" si="10"/>
        <v>0.18677824954361785</v>
      </c>
      <c r="R331" s="46">
        <f t="shared" si="11"/>
        <v>0</v>
      </c>
    </row>
    <row r="332" spans="1:18" x14ac:dyDescent="0.2">
      <c r="A332" s="36" t="s">
        <v>1055</v>
      </c>
      <c r="B332" s="36" t="s">
        <v>947</v>
      </c>
      <c r="C332" s="36" t="s">
        <v>948</v>
      </c>
      <c r="D332" s="40">
        <v>45984</v>
      </c>
      <c r="E332" s="36" t="s">
        <v>859</v>
      </c>
      <c r="F332" s="36" t="s">
        <v>27</v>
      </c>
      <c r="G332" s="36" t="s">
        <v>131</v>
      </c>
      <c r="H332" s="36" t="s">
        <v>32</v>
      </c>
      <c r="I332" s="36" t="s">
        <v>32</v>
      </c>
      <c r="J332" s="36" t="s">
        <v>132</v>
      </c>
      <c r="K332" s="36" t="s">
        <v>103</v>
      </c>
      <c r="L332" s="37">
        <v>300.02999999999997</v>
      </c>
      <c r="M332" s="37">
        <v>41.11</v>
      </c>
      <c r="N332" s="37">
        <v>-258.92</v>
      </c>
      <c r="O332" s="36" t="s">
        <v>103</v>
      </c>
      <c r="P332" s="36">
        <v>0</v>
      </c>
      <c r="Q332" s="41">
        <f t="shared" si="10"/>
        <v>0.13701963137019632</v>
      </c>
      <c r="R332" s="38">
        <f t="shared" si="11"/>
        <v>20</v>
      </c>
    </row>
    <row r="333" spans="1:18" x14ac:dyDescent="0.2">
      <c r="A333" s="42" t="s">
        <v>1056</v>
      </c>
      <c r="B333" s="42" t="s">
        <v>328</v>
      </c>
      <c r="C333" s="42" t="s">
        <v>329</v>
      </c>
      <c r="D333" s="43">
        <v>45807</v>
      </c>
      <c r="E333" s="42" t="s">
        <v>945</v>
      </c>
      <c r="F333" s="42" t="s">
        <v>27</v>
      </c>
      <c r="G333" s="42" t="s">
        <v>126</v>
      </c>
      <c r="H333" s="42" t="s">
        <v>30</v>
      </c>
      <c r="I333" s="42" t="s">
        <v>30</v>
      </c>
      <c r="J333" s="42" t="s">
        <v>143</v>
      </c>
      <c r="K333" s="42" t="s">
        <v>102</v>
      </c>
      <c r="L333" s="44">
        <v>164.35</v>
      </c>
      <c r="M333" s="44">
        <v>289.55</v>
      </c>
      <c r="N333" s="44">
        <v>125.2</v>
      </c>
      <c r="O333" s="42" t="s">
        <v>103</v>
      </c>
      <c r="P333" s="42">
        <v>2</v>
      </c>
      <c r="Q333" s="45">
        <f t="shared" si="10"/>
        <v>1.7617888652266507</v>
      </c>
      <c r="R333" s="46">
        <f t="shared" si="11"/>
        <v>10</v>
      </c>
    </row>
    <row r="334" spans="1:18" x14ac:dyDescent="0.2">
      <c r="A334" s="36" t="s">
        <v>1057</v>
      </c>
      <c r="B334" s="36" t="s">
        <v>145</v>
      </c>
      <c r="C334" s="36" t="s">
        <v>146</v>
      </c>
      <c r="D334" s="40">
        <v>45820</v>
      </c>
      <c r="E334" s="36" t="s">
        <v>1058</v>
      </c>
      <c r="F334" s="36" t="s">
        <v>33</v>
      </c>
      <c r="G334" s="36" t="s">
        <v>108</v>
      </c>
      <c r="H334" s="36" t="s">
        <v>34</v>
      </c>
      <c r="I334" s="36" t="s">
        <v>34</v>
      </c>
      <c r="J334" s="36" t="s">
        <v>121</v>
      </c>
      <c r="K334" s="36" t="s">
        <v>102</v>
      </c>
      <c r="L334" s="37">
        <v>124.47</v>
      </c>
      <c r="M334" s="37">
        <v>258.38</v>
      </c>
      <c r="N334" s="37">
        <v>133.91</v>
      </c>
      <c r="O334" s="36" t="s">
        <v>103</v>
      </c>
      <c r="P334" s="36">
        <v>2</v>
      </c>
      <c r="Q334" s="41">
        <f t="shared" si="10"/>
        <v>2.0758415682493774</v>
      </c>
      <c r="R334" s="38">
        <f t="shared" si="11"/>
        <v>10</v>
      </c>
    </row>
    <row r="335" spans="1:18" x14ac:dyDescent="0.2">
      <c r="A335" s="42" t="s">
        <v>1059</v>
      </c>
      <c r="B335" s="42" t="s">
        <v>1060</v>
      </c>
      <c r="C335" s="42" t="s">
        <v>1061</v>
      </c>
      <c r="D335" s="43">
        <v>45737</v>
      </c>
      <c r="E335" s="42" t="s">
        <v>1062</v>
      </c>
      <c r="F335" s="42" t="s">
        <v>25</v>
      </c>
      <c r="G335" s="42" t="s">
        <v>108</v>
      </c>
      <c r="H335" s="42" t="s">
        <v>34</v>
      </c>
      <c r="I335" s="42" t="s">
        <v>34</v>
      </c>
      <c r="J335" s="42" t="s">
        <v>152</v>
      </c>
      <c r="K335" s="42" t="s">
        <v>103</v>
      </c>
      <c r="L335" s="44">
        <v>230.29</v>
      </c>
      <c r="M335" s="44">
        <v>159.1</v>
      </c>
      <c r="N335" s="44">
        <v>-71.19</v>
      </c>
      <c r="O335" s="42" t="s">
        <v>103</v>
      </c>
      <c r="P335" s="42">
        <v>0</v>
      </c>
      <c r="Q335" s="45">
        <f t="shared" si="10"/>
        <v>0.69086803595466584</v>
      </c>
      <c r="R335" s="46">
        <f t="shared" si="11"/>
        <v>20</v>
      </c>
    </row>
    <row r="336" spans="1:18" x14ac:dyDescent="0.2">
      <c r="A336" s="36" t="s">
        <v>1063</v>
      </c>
      <c r="B336" s="36" t="s">
        <v>915</v>
      </c>
      <c r="C336" s="36" t="s">
        <v>916</v>
      </c>
      <c r="D336" s="40">
        <v>46052</v>
      </c>
      <c r="E336" s="36" t="s">
        <v>1064</v>
      </c>
      <c r="F336" s="36" t="s">
        <v>25</v>
      </c>
      <c r="G336" s="36" t="s">
        <v>100</v>
      </c>
      <c r="H336" s="36" t="s">
        <v>34</v>
      </c>
      <c r="I336" s="36" t="s">
        <v>34</v>
      </c>
      <c r="J336" s="36" t="s">
        <v>121</v>
      </c>
      <c r="K336" s="36" t="s">
        <v>102</v>
      </c>
      <c r="L336" s="37">
        <v>161.07</v>
      </c>
      <c r="M336" s="37">
        <v>93.91</v>
      </c>
      <c r="N336" s="37">
        <v>-67.16</v>
      </c>
      <c r="O336" s="36" t="s">
        <v>103</v>
      </c>
      <c r="P336" s="36">
        <v>0</v>
      </c>
      <c r="Q336" s="41">
        <f t="shared" si="10"/>
        <v>0.58303843049605764</v>
      </c>
      <c r="R336" s="38">
        <f t="shared" si="11"/>
        <v>0</v>
      </c>
    </row>
    <row r="337" spans="1:18" x14ac:dyDescent="0.2">
      <c r="A337" s="42" t="s">
        <v>1065</v>
      </c>
      <c r="B337" s="42" t="s">
        <v>517</v>
      </c>
      <c r="C337" s="42" t="s">
        <v>518</v>
      </c>
      <c r="D337" s="43">
        <v>46071</v>
      </c>
      <c r="E337" s="42" t="s">
        <v>1066</v>
      </c>
      <c r="F337" s="42" t="s">
        <v>25</v>
      </c>
      <c r="G337" s="42" t="s">
        <v>131</v>
      </c>
      <c r="H337" s="42" t="s">
        <v>34</v>
      </c>
      <c r="I337" s="42" t="s">
        <v>34</v>
      </c>
      <c r="J337" s="42" t="s">
        <v>121</v>
      </c>
      <c r="K337" s="42" t="s">
        <v>102</v>
      </c>
      <c r="L337" s="44">
        <v>414.93</v>
      </c>
      <c r="M337" s="44">
        <v>636.14</v>
      </c>
      <c r="N337" s="44">
        <v>221.21</v>
      </c>
      <c r="O337" s="42" t="s">
        <v>103</v>
      </c>
      <c r="P337" s="42">
        <v>0</v>
      </c>
      <c r="Q337" s="45">
        <f t="shared" si="10"/>
        <v>1.5331260694574989</v>
      </c>
      <c r="R337" s="46">
        <f t="shared" si="11"/>
        <v>0</v>
      </c>
    </row>
    <row r="338" spans="1:18" x14ac:dyDescent="0.2">
      <c r="A338" s="36" t="s">
        <v>1067</v>
      </c>
      <c r="B338" s="36" t="s">
        <v>145</v>
      </c>
      <c r="C338" s="36" t="s">
        <v>146</v>
      </c>
      <c r="D338" s="40">
        <v>45733</v>
      </c>
      <c r="E338" s="36" t="s">
        <v>1068</v>
      </c>
      <c r="F338" s="36" t="s">
        <v>31</v>
      </c>
      <c r="G338" s="36" t="s">
        <v>100</v>
      </c>
      <c r="H338" s="36" t="s">
        <v>34</v>
      </c>
      <c r="I338" s="36" t="s">
        <v>34</v>
      </c>
      <c r="J338" s="36" t="s">
        <v>121</v>
      </c>
      <c r="K338" s="36" t="s">
        <v>102</v>
      </c>
      <c r="L338" s="37">
        <v>131.63</v>
      </c>
      <c r="M338" s="37">
        <v>103.02</v>
      </c>
      <c r="N338" s="37">
        <v>-28.61</v>
      </c>
      <c r="O338" s="36" t="s">
        <v>103</v>
      </c>
      <c r="P338" s="36">
        <v>2</v>
      </c>
      <c r="Q338" s="41">
        <f t="shared" si="10"/>
        <v>0.7826483324470106</v>
      </c>
      <c r="R338" s="38">
        <f t="shared" si="11"/>
        <v>0</v>
      </c>
    </row>
    <row r="339" spans="1:18" x14ac:dyDescent="0.2">
      <c r="A339" s="42" t="s">
        <v>1069</v>
      </c>
      <c r="B339" s="42" t="s">
        <v>364</v>
      </c>
      <c r="C339" s="42" t="s">
        <v>365</v>
      </c>
      <c r="D339" s="43">
        <v>45811</v>
      </c>
      <c r="E339" s="42" t="s">
        <v>703</v>
      </c>
      <c r="F339" s="42" t="s">
        <v>29</v>
      </c>
      <c r="G339" s="42" t="s">
        <v>114</v>
      </c>
      <c r="H339" s="42" t="s">
        <v>34</v>
      </c>
      <c r="I339" s="42" t="s">
        <v>34</v>
      </c>
      <c r="J339" s="42" t="s">
        <v>188</v>
      </c>
      <c r="K339" s="42" t="s">
        <v>102</v>
      </c>
      <c r="L339" s="44">
        <v>495.43</v>
      </c>
      <c r="M339" s="44">
        <v>33.880000000000003</v>
      </c>
      <c r="N339" s="44">
        <v>-461.55</v>
      </c>
      <c r="O339" s="42" t="s">
        <v>103</v>
      </c>
      <c r="P339" s="42">
        <v>1</v>
      </c>
      <c r="Q339" s="45">
        <f t="shared" si="10"/>
        <v>6.8385039258825664E-2</v>
      </c>
      <c r="R339" s="46">
        <f t="shared" si="11"/>
        <v>0</v>
      </c>
    </row>
    <row r="340" spans="1:18" x14ac:dyDescent="0.2">
      <c r="A340" s="36" t="s">
        <v>1070</v>
      </c>
      <c r="B340" s="36" t="s">
        <v>368</v>
      </c>
      <c r="C340" s="36" t="s">
        <v>369</v>
      </c>
      <c r="D340" s="40">
        <v>46041</v>
      </c>
      <c r="E340" s="36" t="s">
        <v>1071</v>
      </c>
      <c r="F340" s="36" t="s">
        <v>22</v>
      </c>
      <c r="G340" s="36" t="s">
        <v>131</v>
      </c>
      <c r="H340" s="36" t="s">
        <v>34</v>
      </c>
      <c r="I340" s="36" t="s">
        <v>34</v>
      </c>
      <c r="J340" s="36" t="s">
        <v>121</v>
      </c>
      <c r="K340" s="36" t="s">
        <v>102</v>
      </c>
      <c r="L340" s="37">
        <v>56.42</v>
      </c>
      <c r="M340" s="37">
        <v>12.65</v>
      </c>
      <c r="N340" s="37">
        <v>-43.77</v>
      </c>
      <c r="O340" s="36" t="s">
        <v>103</v>
      </c>
      <c r="P340" s="36">
        <v>1</v>
      </c>
      <c r="Q340" s="41">
        <f t="shared" si="10"/>
        <v>0.22421127259836937</v>
      </c>
      <c r="R340" s="38">
        <f t="shared" si="11"/>
        <v>0</v>
      </c>
    </row>
    <row r="341" spans="1:18" x14ac:dyDescent="0.2">
      <c r="A341" s="42" t="s">
        <v>1072</v>
      </c>
      <c r="B341" s="42" t="s">
        <v>1073</v>
      </c>
      <c r="C341" s="42" t="s">
        <v>1074</v>
      </c>
      <c r="D341" s="43">
        <v>45664</v>
      </c>
      <c r="E341" s="42" t="s">
        <v>782</v>
      </c>
      <c r="F341" s="42" t="s">
        <v>33</v>
      </c>
      <c r="G341" s="42" t="s">
        <v>114</v>
      </c>
      <c r="H341" s="42" t="s">
        <v>28</v>
      </c>
      <c r="I341" s="42" t="s">
        <v>28</v>
      </c>
      <c r="J341" s="42" t="s">
        <v>109</v>
      </c>
      <c r="K341" s="42" t="s">
        <v>102</v>
      </c>
      <c r="L341" s="44">
        <v>392.67</v>
      </c>
      <c r="M341" s="44">
        <v>192.03</v>
      </c>
      <c r="N341" s="44">
        <v>-200.64</v>
      </c>
      <c r="O341" s="42" t="s">
        <v>103</v>
      </c>
      <c r="P341" s="42">
        <v>0</v>
      </c>
      <c r="Q341" s="45">
        <f t="shared" si="10"/>
        <v>0.48903659561463825</v>
      </c>
      <c r="R341" s="46">
        <f t="shared" si="11"/>
        <v>0</v>
      </c>
    </row>
    <row r="342" spans="1:18" x14ac:dyDescent="0.2">
      <c r="A342" s="36" t="s">
        <v>1075</v>
      </c>
      <c r="B342" s="36" t="s">
        <v>906</v>
      </c>
      <c r="C342" s="36" t="s">
        <v>907</v>
      </c>
      <c r="D342" s="40">
        <v>46009</v>
      </c>
      <c r="E342" s="36" t="s">
        <v>1076</v>
      </c>
      <c r="F342" s="36" t="s">
        <v>22</v>
      </c>
      <c r="G342" s="36" t="s">
        <v>100</v>
      </c>
      <c r="H342" s="36" t="s">
        <v>34</v>
      </c>
      <c r="I342" s="36" t="s">
        <v>34</v>
      </c>
      <c r="J342" s="36" t="s">
        <v>188</v>
      </c>
      <c r="K342" s="36" t="s">
        <v>102</v>
      </c>
      <c r="L342" s="37">
        <v>51.18</v>
      </c>
      <c r="M342" s="37">
        <v>65.989999999999995</v>
      </c>
      <c r="N342" s="37">
        <v>14.81</v>
      </c>
      <c r="O342" s="36" t="s">
        <v>103</v>
      </c>
      <c r="P342" s="36">
        <v>1</v>
      </c>
      <c r="Q342" s="41">
        <f t="shared" si="10"/>
        <v>1.289370847987495</v>
      </c>
      <c r="R342" s="38">
        <f t="shared" si="11"/>
        <v>0</v>
      </c>
    </row>
    <row r="343" spans="1:18" x14ac:dyDescent="0.2">
      <c r="A343" s="42" t="s">
        <v>1077</v>
      </c>
      <c r="B343" s="42" t="s">
        <v>123</v>
      </c>
      <c r="C343" s="42" t="s">
        <v>124</v>
      </c>
      <c r="D343" s="43">
        <v>45691</v>
      </c>
      <c r="E343" s="42" t="s">
        <v>1078</v>
      </c>
      <c r="F343" s="42" t="s">
        <v>25</v>
      </c>
      <c r="G343" s="42" t="s">
        <v>120</v>
      </c>
      <c r="H343" s="42" t="s">
        <v>34</v>
      </c>
      <c r="I343" s="42" t="s">
        <v>34</v>
      </c>
      <c r="J343" s="42" t="s">
        <v>121</v>
      </c>
      <c r="K343" s="42" t="s">
        <v>102</v>
      </c>
      <c r="L343" s="44">
        <v>326.52999999999997</v>
      </c>
      <c r="M343" s="44">
        <v>581.37</v>
      </c>
      <c r="N343" s="44">
        <v>254.84</v>
      </c>
      <c r="O343" s="42" t="s">
        <v>103</v>
      </c>
      <c r="P343" s="42">
        <v>0</v>
      </c>
      <c r="Q343" s="45">
        <f t="shared" si="10"/>
        <v>1.7804489633418064</v>
      </c>
      <c r="R343" s="46">
        <f t="shared" si="11"/>
        <v>0</v>
      </c>
    </row>
    <row r="344" spans="1:18" x14ac:dyDescent="0.2">
      <c r="A344" s="36" t="s">
        <v>1079</v>
      </c>
      <c r="B344" s="36" t="s">
        <v>1073</v>
      </c>
      <c r="C344" s="36" t="s">
        <v>1074</v>
      </c>
      <c r="D344" s="40">
        <v>45679</v>
      </c>
      <c r="E344" s="36" t="s">
        <v>1080</v>
      </c>
      <c r="F344" s="36" t="s">
        <v>22</v>
      </c>
      <c r="G344" s="36" t="s">
        <v>126</v>
      </c>
      <c r="H344" s="36" t="s">
        <v>28</v>
      </c>
      <c r="I344" s="36" t="s">
        <v>28</v>
      </c>
      <c r="J344" s="36" t="s">
        <v>109</v>
      </c>
      <c r="K344" s="36" t="s">
        <v>102</v>
      </c>
      <c r="L344" s="37">
        <v>92.31</v>
      </c>
      <c r="M344" s="37">
        <v>116.55</v>
      </c>
      <c r="N344" s="37">
        <v>24.24</v>
      </c>
      <c r="O344" s="36" t="s">
        <v>103</v>
      </c>
      <c r="P344" s="36">
        <v>0</v>
      </c>
      <c r="Q344" s="41">
        <f t="shared" si="10"/>
        <v>1.2625934351641208</v>
      </c>
      <c r="R344" s="38">
        <f t="shared" si="11"/>
        <v>10</v>
      </c>
    </row>
    <row r="345" spans="1:18" x14ac:dyDescent="0.2">
      <c r="A345" s="42" t="s">
        <v>1081</v>
      </c>
      <c r="B345" s="42" t="s">
        <v>809</v>
      </c>
      <c r="C345" s="42" t="s">
        <v>810</v>
      </c>
      <c r="D345" s="43">
        <v>45912</v>
      </c>
      <c r="E345" s="42" t="s">
        <v>1082</v>
      </c>
      <c r="F345" s="42" t="s">
        <v>33</v>
      </c>
      <c r="G345" s="42" t="s">
        <v>131</v>
      </c>
      <c r="H345" s="42" t="s">
        <v>34</v>
      </c>
      <c r="I345" s="42" t="s">
        <v>34</v>
      </c>
      <c r="J345" s="42" t="s">
        <v>188</v>
      </c>
      <c r="K345" s="42" t="s">
        <v>102</v>
      </c>
      <c r="L345" s="44">
        <v>344.77</v>
      </c>
      <c r="M345" s="44">
        <v>131.07</v>
      </c>
      <c r="N345" s="44">
        <v>-213.7</v>
      </c>
      <c r="O345" s="42" t="s">
        <v>103</v>
      </c>
      <c r="P345" s="42">
        <v>2</v>
      </c>
      <c r="Q345" s="45">
        <f t="shared" si="10"/>
        <v>0.38016648780346318</v>
      </c>
      <c r="R345" s="46">
        <f t="shared" si="11"/>
        <v>0</v>
      </c>
    </row>
    <row r="346" spans="1:18" x14ac:dyDescent="0.2">
      <c r="A346" s="36" t="s">
        <v>1083</v>
      </c>
      <c r="B346" s="36" t="s">
        <v>208</v>
      </c>
      <c r="C346" s="36" t="s">
        <v>209</v>
      </c>
      <c r="D346" s="40">
        <v>45801</v>
      </c>
      <c r="E346" s="36" t="s">
        <v>1084</v>
      </c>
      <c r="F346" s="36" t="s">
        <v>31</v>
      </c>
      <c r="G346" s="36" t="s">
        <v>131</v>
      </c>
      <c r="H346" s="36" t="s">
        <v>30</v>
      </c>
      <c r="I346" s="36" t="s">
        <v>30</v>
      </c>
      <c r="J346" s="36" t="s">
        <v>143</v>
      </c>
      <c r="K346" s="36" t="s">
        <v>102</v>
      </c>
      <c r="L346" s="37">
        <v>82.83</v>
      </c>
      <c r="M346" s="37">
        <v>111.91</v>
      </c>
      <c r="N346" s="37">
        <v>29.08</v>
      </c>
      <c r="O346" s="36" t="s">
        <v>103</v>
      </c>
      <c r="P346" s="36">
        <v>0</v>
      </c>
      <c r="Q346" s="41">
        <f t="shared" si="10"/>
        <v>1.3510805263793311</v>
      </c>
      <c r="R346" s="38">
        <f t="shared" si="11"/>
        <v>0</v>
      </c>
    </row>
    <row r="347" spans="1:18" x14ac:dyDescent="0.2">
      <c r="A347" s="42" t="s">
        <v>1085</v>
      </c>
      <c r="B347" s="42" t="s">
        <v>346</v>
      </c>
      <c r="C347" s="42" t="s">
        <v>347</v>
      </c>
      <c r="D347" s="43">
        <v>45809</v>
      </c>
      <c r="E347" s="42" t="s">
        <v>1086</v>
      </c>
      <c r="F347" s="42" t="s">
        <v>25</v>
      </c>
      <c r="G347" s="42" t="s">
        <v>120</v>
      </c>
      <c r="H347" s="42" t="s">
        <v>28</v>
      </c>
      <c r="I347" s="42" t="s">
        <v>28</v>
      </c>
      <c r="J347" s="42" t="s">
        <v>109</v>
      </c>
      <c r="K347" s="42" t="s">
        <v>103</v>
      </c>
      <c r="L347" s="44">
        <v>442.56</v>
      </c>
      <c r="M347" s="44">
        <v>466.4</v>
      </c>
      <c r="N347" s="44">
        <v>23.84</v>
      </c>
      <c r="O347" s="42" t="s">
        <v>103</v>
      </c>
      <c r="P347" s="42">
        <v>1</v>
      </c>
      <c r="Q347" s="45">
        <f t="shared" si="10"/>
        <v>1.0538684020245841</v>
      </c>
      <c r="R347" s="46">
        <f t="shared" si="11"/>
        <v>20</v>
      </c>
    </row>
    <row r="348" spans="1:18" x14ac:dyDescent="0.2">
      <c r="A348" s="36" t="s">
        <v>1087</v>
      </c>
      <c r="B348" s="36" t="s">
        <v>46</v>
      </c>
      <c r="C348" s="36" t="s">
        <v>47</v>
      </c>
      <c r="D348" s="40">
        <v>45728</v>
      </c>
      <c r="E348" s="36" t="s">
        <v>1088</v>
      </c>
      <c r="F348" s="36" t="s">
        <v>22</v>
      </c>
      <c r="G348" s="36" t="s">
        <v>100</v>
      </c>
      <c r="H348" s="36" t="s">
        <v>23</v>
      </c>
      <c r="I348" s="36" t="s">
        <v>20</v>
      </c>
      <c r="J348" s="36" t="s">
        <v>143</v>
      </c>
      <c r="K348" s="36" t="s">
        <v>102</v>
      </c>
      <c r="L348" s="37">
        <v>6366.02</v>
      </c>
      <c r="M348" s="37">
        <v>25246.7</v>
      </c>
      <c r="N348" s="37">
        <v>18880.68</v>
      </c>
      <c r="O348" s="36" t="s">
        <v>318</v>
      </c>
      <c r="P348" s="36">
        <v>1</v>
      </c>
      <c r="Q348" s="41">
        <f t="shared" si="10"/>
        <v>3.9658530761763235</v>
      </c>
      <c r="R348" s="38">
        <f t="shared" si="11"/>
        <v>70</v>
      </c>
    </row>
    <row r="349" spans="1:18" x14ac:dyDescent="0.2">
      <c r="A349" s="42" t="s">
        <v>1089</v>
      </c>
      <c r="B349" s="42" t="s">
        <v>767</v>
      </c>
      <c r="C349" s="42" t="s">
        <v>768</v>
      </c>
      <c r="D349" s="43">
        <v>46058</v>
      </c>
      <c r="E349" s="42" t="s">
        <v>1090</v>
      </c>
      <c r="F349" s="42" t="s">
        <v>19</v>
      </c>
      <c r="G349" s="42" t="s">
        <v>108</v>
      </c>
      <c r="H349" s="42" t="s">
        <v>26</v>
      </c>
      <c r="I349" s="42" t="s">
        <v>26</v>
      </c>
      <c r="J349" s="42" t="s">
        <v>303</v>
      </c>
      <c r="K349" s="42" t="s">
        <v>103</v>
      </c>
      <c r="L349" s="44">
        <v>245.05</v>
      </c>
      <c r="M349" s="44">
        <v>421.28</v>
      </c>
      <c r="N349" s="44">
        <v>176.23</v>
      </c>
      <c r="O349" s="42" t="s">
        <v>103</v>
      </c>
      <c r="P349" s="42">
        <v>0</v>
      </c>
      <c r="Q349" s="45">
        <f t="shared" si="10"/>
        <v>1.7191593552336255</v>
      </c>
      <c r="R349" s="46">
        <f t="shared" si="11"/>
        <v>20</v>
      </c>
    </row>
    <row r="350" spans="1:18" x14ac:dyDescent="0.2">
      <c r="A350" s="36" t="s">
        <v>1091</v>
      </c>
      <c r="B350" s="36" t="s">
        <v>149</v>
      </c>
      <c r="C350" s="36" t="s">
        <v>150</v>
      </c>
      <c r="D350" s="40">
        <v>45822</v>
      </c>
      <c r="E350" s="36" t="s">
        <v>1092</v>
      </c>
      <c r="F350" s="36" t="s">
        <v>33</v>
      </c>
      <c r="G350" s="36" t="s">
        <v>100</v>
      </c>
      <c r="H350" s="36" t="s">
        <v>34</v>
      </c>
      <c r="I350" s="36" t="s">
        <v>34</v>
      </c>
      <c r="J350" s="36" t="s">
        <v>152</v>
      </c>
      <c r="K350" s="36" t="s">
        <v>103</v>
      </c>
      <c r="L350" s="37">
        <v>98.11</v>
      </c>
      <c r="M350" s="37">
        <v>68.83</v>
      </c>
      <c r="N350" s="37">
        <v>-29.28</v>
      </c>
      <c r="O350" s="36" t="s">
        <v>103</v>
      </c>
      <c r="P350" s="36">
        <v>0</v>
      </c>
      <c r="Q350" s="41">
        <f t="shared" si="10"/>
        <v>0.70155947405972885</v>
      </c>
      <c r="R350" s="38">
        <f t="shared" si="11"/>
        <v>20</v>
      </c>
    </row>
    <row r="351" spans="1:18" x14ac:dyDescent="0.2">
      <c r="A351" s="42" t="s">
        <v>1093</v>
      </c>
      <c r="B351" s="42" t="s">
        <v>461</v>
      </c>
      <c r="C351" s="42" t="s">
        <v>462</v>
      </c>
      <c r="D351" s="43">
        <v>45801</v>
      </c>
      <c r="E351" s="42" t="s">
        <v>1094</v>
      </c>
      <c r="F351" s="42" t="s">
        <v>22</v>
      </c>
      <c r="G351" s="42" t="s">
        <v>108</v>
      </c>
      <c r="H351" s="42" t="s">
        <v>34</v>
      </c>
      <c r="I351" s="42" t="s">
        <v>34</v>
      </c>
      <c r="J351" s="42" t="s">
        <v>121</v>
      </c>
      <c r="K351" s="42" t="s">
        <v>102</v>
      </c>
      <c r="L351" s="44">
        <v>495.85</v>
      </c>
      <c r="M351" s="44">
        <v>577.54</v>
      </c>
      <c r="N351" s="44">
        <v>81.69</v>
      </c>
      <c r="O351" s="42" t="s">
        <v>103</v>
      </c>
      <c r="P351" s="42">
        <v>0</v>
      </c>
      <c r="Q351" s="45">
        <f t="shared" si="10"/>
        <v>1.1647474034486234</v>
      </c>
      <c r="R351" s="46">
        <f t="shared" si="11"/>
        <v>0</v>
      </c>
    </row>
    <row r="352" spans="1:18" x14ac:dyDescent="0.2">
      <c r="A352" s="36" t="s">
        <v>1095</v>
      </c>
      <c r="B352" s="36" t="s">
        <v>71</v>
      </c>
      <c r="C352" s="36" t="s">
        <v>72</v>
      </c>
      <c r="D352" s="40">
        <v>45739</v>
      </c>
      <c r="E352" s="36" t="s">
        <v>317</v>
      </c>
      <c r="F352" s="36" t="s">
        <v>22</v>
      </c>
      <c r="G352" s="36" t="s">
        <v>126</v>
      </c>
      <c r="H352" s="36" t="s">
        <v>34</v>
      </c>
      <c r="I352" s="36" t="s">
        <v>34</v>
      </c>
      <c r="J352" s="36" t="s">
        <v>121</v>
      </c>
      <c r="K352" s="36" t="s">
        <v>103</v>
      </c>
      <c r="L352" s="37">
        <v>331.86</v>
      </c>
      <c r="M352" s="37">
        <v>194.59</v>
      </c>
      <c r="N352" s="37">
        <v>-137.27000000000001</v>
      </c>
      <c r="O352" s="36" t="s">
        <v>103</v>
      </c>
      <c r="P352" s="36">
        <v>2</v>
      </c>
      <c r="Q352" s="41">
        <f t="shared" si="10"/>
        <v>0.5863617187970831</v>
      </c>
      <c r="R352" s="38">
        <f t="shared" si="11"/>
        <v>30</v>
      </c>
    </row>
    <row r="353" spans="1:18" x14ac:dyDescent="0.2">
      <c r="A353" s="42" t="s">
        <v>1096</v>
      </c>
      <c r="B353" s="42" t="s">
        <v>52</v>
      </c>
      <c r="C353" s="42" t="s">
        <v>53</v>
      </c>
      <c r="D353" s="43">
        <v>46049</v>
      </c>
      <c r="E353" s="42" t="s">
        <v>832</v>
      </c>
      <c r="F353" s="42" t="s">
        <v>22</v>
      </c>
      <c r="G353" s="42" t="s">
        <v>131</v>
      </c>
      <c r="H353" s="42" t="s">
        <v>32</v>
      </c>
      <c r="I353" s="42" t="s">
        <v>28</v>
      </c>
      <c r="J353" s="42" t="s">
        <v>109</v>
      </c>
      <c r="K353" s="42" t="s">
        <v>102</v>
      </c>
      <c r="L353" s="44">
        <v>3799.68</v>
      </c>
      <c r="M353" s="44">
        <v>15449.12</v>
      </c>
      <c r="N353" s="44">
        <v>11649.44</v>
      </c>
      <c r="O353" s="42" t="s">
        <v>318</v>
      </c>
      <c r="P353" s="42">
        <v>1</v>
      </c>
      <c r="Q353" s="45">
        <f t="shared" si="10"/>
        <v>4.065900286339903</v>
      </c>
      <c r="R353" s="46">
        <f t="shared" si="11"/>
        <v>70</v>
      </c>
    </row>
    <row r="354" spans="1:18" x14ac:dyDescent="0.2">
      <c r="A354" s="36" t="s">
        <v>1097</v>
      </c>
      <c r="B354" s="36" t="s">
        <v>845</v>
      </c>
      <c r="C354" s="36" t="s">
        <v>846</v>
      </c>
      <c r="D354" s="40">
        <v>45779</v>
      </c>
      <c r="E354" s="36" t="s">
        <v>1098</v>
      </c>
      <c r="F354" s="36" t="s">
        <v>31</v>
      </c>
      <c r="G354" s="36" t="s">
        <v>100</v>
      </c>
      <c r="H354" s="36" t="s">
        <v>34</v>
      </c>
      <c r="I354" s="36" t="s">
        <v>34</v>
      </c>
      <c r="J354" s="36" t="s">
        <v>121</v>
      </c>
      <c r="K354" s="36" t="s">
        <v>103</v>
      </c>
      <c r="L354" s="37">
        <v>405.04</v>
      </c>
      <c r="M354" s="37">
        <v>621.65</v>
      </c>
      <c r="N354" s="37">
        <v>216.61</v>
      </c>
      <c r="O354" s="36" t="s">
        <v>103</v>
      </c>
      <c r="P354" s="36">
        <v>3</v>
      </c>
      <c r="Q354" s="41">
        <f t="shared" si="10"/>
        <v>1.5347866877345446</v>
      </c>
      <c r="R354" s="38">
        <f t="shared" si="11"/>
        <v>20</v>
      </c>
    </row>
    <row r="355" spans="1:18" x14ac:dyDescent="0.2">
      <c r="A355" s="42" t="s">
        <v>1099</v>
      </c>
      <c r="B355" s="42" t="s">
        <v>630</v>
      </c>
      <c r="C355" s="42" t="s">
        <v>631</v>
      </c>
      <c r="D355" s="43">
        <v>46016</v>
      </c>
      <c r="E355" s="42" t="s">
        <v>1100</v>
      </c>
      <c r="F355" s="42" t="s">
        <v>33</v>
      </c>
      <c r="G355" s="42" t="s">
        <v>114</v>
      </c>
      <c r="H355" s="42" t="s">
        <v>34</v>
      </c>
      <c r="I355" s="42" t="s">
        <v>34</v>
      </c>
      <c r="J355" s="42" t="s">
        <v>121</v>
      </c>
      <c r="K355" s="42" t="s">
        <v>102</v>
      </c>
      <c r="L355" s="44">
        <v>286.17</v>
      </c>
      <c r="M355" s="44">
        <v>354.52</v>
      </c>
      <c r="N355" s="44">
        <v>68.349999999999994</v>
      </c>
      <c r="O355" s="42" t="s">
        <v>103</v>
      </c>
      <c r="P355" s="42">
        <v>0</v>
      </c>
      <c r="Q355" s="45">
        <f t="shared" si="10"/>
        <v>1.2388440437502182</v>
      </c>
      <c r="R355" s="46">
        <f t="shared" si="11"/>
        <v>0</v>
      </c>
    </row>
    <row r="356" spans="1:18" x14ac:dyDescent="0.2">
      <c r="A356" s="36" t="s">
        <v>1101</v>
      </c>
      <c r="B356" s="36" t="s">
        <v>924</v>
      </c>
      <c r="C356" s="36" t="s">
        <v>925</v>
      </c>
      <c r="D356" s="40">
        <v>45816</v>
      </c>
      <c r="E356" s="36" t="s">
        <v>475</v>
      </c>
      <c r="F356" s="36" t="s">
        <v>31</v>
      </c>
      <c r="G356" s="36" t="s">
        <v>131</v>
      </c>
      <c r="H356" s="36" t="s">
        <v>23</v>
      </c>
      <c r="I356" s="36" t="s">
        <v>23</v>
      </c>
      <c r="J356" s="36" t="s">
        <v>101</v>
      </c>
      <c r="K356" s="36" t="s">
        <v>102</v>
      </c>
      <c r="L356" s="37">
        <v>28.6</v>
      </c>
      <c r="M356" s="37">
        <v>3.53</v>
      </c>
      <c r="N356" s="37">
        <v>-25.07</v>
      </c>
      <c r="O356" s="36" t="s">
        <v>103</v>
      </c>
      <c r="P356" s="36">
        <v>1</v>
      </c>
      <c r="Q356" s="41">
        <f t="shared" si="10"/>
        <v>0.12342657342657341</v>
      </c>
      <c r="R356" s="38">
        <f t="shared" si="11"/>
        <v>0</v>
      </c>
    </row>
    <row r="357" spans="1:18" x14ac:dyDescent="0.2">
      <c r="A357" s="42" t="s">
        <v>1102</v>
      </c>
      <c r="B357" s="42" t="s">
        <v>123</v>
      </c>
      <c r="C357" s="42" t="s">
        <v>124</v>
      </c>
      <c r="D357" s="43">
        <v>45927</v>
      </c>
      <c r="E357" s="42" t="s">
        <v>1103</v>
      </c>
      <c r="F357" s="42" t="s">
        <v>22</v>
      </c>
      <c r="G357" s="42" t="s">
        <v>131</v>
      </c>
      <c r="H357" s="42" t="s">
        <v>34</v>
      </c>
      <c r="I357" s="42" t="s">
        <v>34</v>
      </c>
      <c r="J357" s="42" t="s">
        <v>121</v>
      </c>
      <c r="K357" s="42" t="s">
        <v>102</v>
      </c>
      <c r="L357" s="44">
        <v>172.55</v>
      </c>
      <c r="M357" s="44">
        <v>233.13</v>
      </c>
      <c r="N357" s="44">
        <v>60.58</v>
      </c>
      <c r="O357" s="42" t="s">
        <v>103</v>
      </c>
      <c r="P357" s="42">
        <v>0</v>
      </c>
      <c r="Q357" s="45">
        <f t="shared" si="10"/>
        <v>1.3510866415531728</v>
      </c>
      <c r="R357" s="46">
        <f t="shared" si="11"/>
        <v>0</v>
      </c>
    </row>
    <row r="358" spans="1:18" x14ac:dyDescent="0.2">
      <c r="A358" s="36" t="s">
        <v>1104</v>
      </c>
      <c r="B358" s="36" t="s">
        <v>816</v>
      </c>
      <c r="C358" s="36" t="s">
        <v>817</v>
      </c>
      <c r="D358" s="40">
        <v>46025</v>
      </c>
      <c r="E358" s="36" t="s">
        <v>1105</v>
      </c>
      <c r="F358" s="36" t="s">
        <v>25</v>
      </c>
      <c r="G358" s="36" t="s">
        <v>100</v>
      </c>
      <c r="H358" s="36" t="s">
        <v>34</v>
      </c>
      <c r="I358" s="36" t="s">
        <v>34</v>
      </c>
      <c r="J358" s="36" t="s">
        <v>188</v>
      </c>
      <c r="K358" s="36" t="s">
        <v>102</v>
      </c>
      <c r="L358" s="37">
        <v>403.19</v>
      </c>
      <c r="M358" s="37">
        <v>770.12</v>
      </c>
      <c r="N358" s="37">
        <v>366.93</v>
      </c>
      <c r="O358" s="36" t="s">
        <v>103</v>
      </c>
      <c r="P358" s="36">
        <v>0</v>
      </c>
      <c r="Q358" s="41">
        <f t="shared" si="10"/>
        <v>1.9100672139686004</v>
      </c>
      <c r="R358" s="38">
        <f t="shared" si="11"/>
        <v>0</v>
      </c>
    </row>
    <row r="359" spans="1:18" x14ac:dyDescent="0.2">
      <c r="A359" s="42" t="s">
        <v>1106</v>
      </c>
      <c r="B359" s="42" t="s">
        <v>415</v>
      </c>
      <c r="C359" s="42" t="s">
        <v>416</v>
      </c>
      <c r="D359" s="43">
        <v>45958</v>
      </c>
      <c r="E359" s="42" t="s">
        <v>1107</v>
      </c>
      <c r="F359" s="42" t="s">
        <v>31</v>
      </c>
      <c r="G359" s="42" t="s">
        <v>120</v>
      </c>
      <c r="H359" s="42" t="s">
        <v>34</v>
      </c>
      <c r="I359" s="42" t="s">
        <v>34</v>
      </c>
      <c r="J359" s="42" t="s">
        <v>121</v>
      </c>
      <c r="K359" s="42" t="s">
        <v>102</v>
      </c>
      <c r="L359" s="44">
        <v>79.41</v>
      </c>
      <c r="M359" s="44">
        <v>19.38</v>
      </c>
      <c r="N359" s="44">
        <v>-60.03</v>
      </c>
      <c r="O359" s="42" t="s">
        <v>103</v>
      </c>
      <c r="P359" s="42">
        <v>0</v>
      </c>
      <c r="Q359" s="45">
        <f t="shared" si="10"/>
        <v>0.24404986777483945</v>
      </c>
      <c r="R359" s="46">
        <f t="shared" si="11"/>
        <v>0</v>
      </c>
    </row>
    <row r="360" spans="1:18" x14ac:dyDescent="0.2">
      <c r="A360" s="36" t="s">
        <v>1108</v>
      </c>
      <c r="B360" s="36" t="s">
        <v>307</v>
      </c>
      <c r="C360" s="36" t="s">
        <v>308</v>
      </c>
      <c r="D360" s="40">
        <v>45849</v>
      </c>
      <c r="E360" s="36" t="s">
        <v>1109</v>
      </c>
      <c r="F360" s="36" t="s">
        <v>19</v>
      </c>
      <c r="G360" s="36" t="s">
        <v>120</v>
      </c>
      <c r="H360" s="36" t="s">
        <v>26</v>
      </c>
      <c r="I360" s="36" t="s">
        <v>26</v>
      </c>
      <c r="J360" s="36" t="s">
        <v>303</v>
      </c>
      <c r="K360" s="36" t="s">
        <v>102</v>
      </c>
      <c r="L360" s="37">
        <v>203.84</v>
      </c>
      <c r="M360" s="37">
        <v>45.31</v>
      </c>
      <c r="N360" s="37">
        <v>-158.53</v>
      </c>
      <c r="O360" s="36" t="s">
        <v>103</v>
      </c>
      <c r="P360" s="36">
        <v>0</v>
      </c>
      <c r="Q360" s="41">
        <f t="shared" si="10"/>
        <v>0.22228218210361067</v>
      </c>
      <c r="R360" s="38">
        <f t="shared" si="11"/>
        <v>0</v>
      </c>
    </row>
    <row r="361" spans="1:18" x14ac:dyDescent="0.2">
      <c r="A361" s="42" t="s">
        <v>1110</v>
      </c>
      <c r="B361" s="42" t="s">
        <v>947</v>
      </c>
      <c r="C361" s="42" t="s">
        <v>948</v>
      </c>
      <c r="D361" s="43">
        <v>45738</v>
      </c>
      <c r="E361" s="42" t="s">
        <v>1111</v>
      </c>
      <c r="F361" s="42" t="s">
        <v>27</v>
      </c>
      <c r="G361" s="42" t="s">
        <v>120</v>
      </c>
      <c r="H361" s="42" t="s">
        <v>32</v>
      </c>
      <c r="I361" s="42" t="s">
        <v>32</v>
      </c>
      <c r="J361" s="42" t="s">
        <v>132</v>
      </c>
      <c r="K361" s="42" t="s">
        <v>103</v>
      </c>
      <c r="L361" s="44">
        <v>398</v>
      </c>
      <c r="M361" s="44">
        <v>841.16</v>
      </c>
      <c r="N361" s="44">
        <v>443.16</v>
      </c>
      <c r="O361" s="42" t="s">
        <v>103</v>
      </c>
      <c r="P361" s="42">
        <v>0</v>
      </c>
      <c r="Q361" s="45">
        <f t="shared" si="10"/>
        <v>2.1134673366834171</v>
      </c>
      <c r="R361" s="46">
        <f t="shared" si="11"/>
        <v>30</v>
      </c>
    </row>
    <row r="362" spans="1:18" x14ac:dyDescent="0.2">
      <c r="A362" s="36" t="s">
        <v>1112</v>
      </c>
      <c r="B362" s="36" t="s">
        <v>673</v>
      </c>
      <c r="C362" s="36" t="s">
        <v>674</v>
      </c>
      <c r="D362" s="40">
        <v>46020</v>
      </c>
      <c r="E362" s="36" t="s">
        <v>1113</v>
      </c>
      <c r="F362" s="36" t="s">
        <v>19</v>
      </c>
      <c r="G362" s="36" t="s">
        <v>131</v>
      </c>
      <c r="H362" s="36" t="s">
        <v>34</v>
      </c>
      <c r="I362" s="36" t="s">
        <v>34</v>
      </c>
      <c r="J362" s="36" t="s">
        <v>188</v>
      </c>
      <c r="K362" s="36" t="s">
        <v>103</v>
      </c>
      <c r="L362" s="37">
        <v>445.9</v>
      </c>
      <c r="M362" s="37">
        <v>602.04</v>
      </c>
      <c r="N362" s="37">
        <v>156.13999999999999</v>
      </c>
      <c r="O362" s="36" t="s">
        <v>103</v>
      </c>
      <c r="P362" s="36">
        <v>2</v>
      </c>
      <c r="Q362" s="41">
        <f t="shared" si="10"/>
        <v>1.350168199147791</v>
      </c>
      <c r="R362" s="38">
        <f t="shared" si="11"/>
        <v>20</v>
      </c>
    </row>
    <row r="363" spans="1:18" x14ac:dyDescent="0.2">
      <c r="A363" s="42" t="s">
        <v>1114</v>
      </c>
      <c r="B363" s="42" t="s">
        <v>691</v>
      </c>
      <c r="C363" s="42" t="s">
        <v>692</v>
      </c>
      <c r="D363" s="43">
        <v>45959</v>
      </c>
      <c r="E363" s="42" t="s">
        <v>1115</v>
      </c>
      <c r="F363" s="42" t="s">
        <v>33</v>
      </c>
      <c r="G363" s="42" t="s">
        <v>131</v>
      </c>
      <c r="H363" s="42" t="s">
        <v>28</v>
      </c>
      <c r="I363" s="42" t="s">
        <v>28</v>
      </c>
      <c r="J363" s="42" t="s">
        <v>109</v>
      </c>
      <c r="K363" s="42" t="s">
        <v>102</v>
      </c>
      <c r="L363" s="44">
        <v>160.34</v>
      </c>
      <c r="M363" s="44">
        <v>242.87</v>
      </c>
      <c r="N363" s="44">
        <v>82.53</v>
      </c>
      <c r="O363" s="42" t="s">
        <v>103</v>
      </c>
      <c r="P363" s="42">
        <v>0</v>
      </c>
      <c r="Q363" s="45">
        <f t="shared" si="10"/>
        <v>1.5147187227142322</v>
      </c>
      <c r="R363" s="46">
        <f t="shared" si="11"/>
        <v>0</v>
      </c>
    </row>
    <row r="364" spans="1:18" x14ac:dyDescent="0.2">
      <c r="A364" s="36" t="s">
        <v>1116</v>
      </c>
      <c r="B364" s="36" t="s">
        <v>477</v>
      </c>
      <c r="C364" s="36" t="s">
        <v>478</v>
      </c>
      <c r="D364" s="40">
        <v>45658</v>
      </c>
      <c r="E364" s="36" t="s">
        <v>1117</v>
      </c>
      <c r="F364" s="36" t="s">
        <v>31</v>
      </c>
      <c r="G364" s="36" t="s">
        <v>100</v>
      </c>
      <c r="H364" s="36" t="s">
        <v>23</v>
      </c>
      <c r="I364" s="36" t="s">
        <v>23</v>
      </c>
      <c r="J364" s="36" t="s">
        <v>101</v>
      </c>
      <c r="K364" s="36" t="s">
        <v>102</v>
      </c>
      <c r="L364" s="37">
        <v>201.88</v>
      </c>
      <c r="M364" s="37">
        <v>441.6</v>
      </c>
      <c r="N364" s="37">
        <v>239.72</v>
      </c>
      <c r="O364" s="36" t="s">
        <v>103</v>
      </c>
      <c r="P364" s="36">
        <v>1</v>
      </c>
      <c r="Q364" s="41">
        <f t="shared" si="10"/>
        <v>2.1874380820289283</v>
      </c>
      <c r="R364" s="38">
        <f t="shared" si="11"/>
        <v>10</v>
      </c>
    </row>
    <row r="365" spans="1:18" x14ac:dyDescent="0.2">
      <c r="A365" s="42" t="s">
        <v>1118</v>
      </c>
      <c r="B365" s="42" t="s">
        <v>388</v>
      </c>
      <c r="C365" s="42" t="s">
        <v>389</v>
      </c>
      <c r="D365" s="43">
        <v>45966</v>
      </c>
      <c r="E365" s="42" t="s">
        <v>1119</v>
      </c>
      <c r="F365" s="42" t="s">
        <v>27</v>
      </c>
      <c r="G365" s="42" t="s">
        <v>108</v>
      </c>
      <c r="H365" s="42" t="s">
        <v>30</v>
      </c>
      <c r="I365" s="42" t="s">
        <v>30</v>
      </c>
      <c r="J365" s="42" t="s">
        <v>143</v>
      </c>
      <c r="K365" s="42" t="s">
        <v>102</v>
      </c>
      <c r="L365" s="44">
        <v>406.32</v>
      </c>
      <c r="M365" s="44">
        <v>546.52</v>
      </c>
      <c r="N365" s="44">
        <v>140.19999999999999</v>
      </c>
      <c r="O365" s="42" t="s">
        <v>103</v>
      </c>
      <c r="P365" s="42">
        <v>0</v>
      </c>
      <c r="Q365" s="45">
        <f t="shared" si="10"/>
        <v>1.3450482378420949</v>
      </c>
      <c r="R365" s="46">
        <f t="shared" si="11"/>
        <v>0</v>
      </c>
    </row>
    <row r="366" spans="1:18" x14ac:dyDescent="0.2">
      <c r="A366" s="36" t="s">
        <v>1120</v>
      </c>
      <c r="B366" s="36" t="s">
        <v>874</v>
      </c>
      <c r="C366" s="36" t="s">
        <v>875</v>
      </c>
      <c r="D366" s="40">
        <v>45912</v>
      </c>
      <c r="E366" s="36" t="s">
        <v>1121</v>
      </c>
      <c r="F366" s="36" t="s">
        <v>19</v>
      </c>
      <c r="G366" s="36" t="s">
        <v>131</v>
      </c>
      <c r="H366" s="36" t="s">
        <v>34</v>
      </c>
      <c r="I366" s="36" t="s">
        <v>34</v>
      </c>
      <c r="J366" s="36" t="s">
        <v>115</v>
      </c>
      <c r="K366" s="36" t="s">
        <v>102</v>
      </c>
      <c r="L366" s="37">
        <v>375.22</v>
      </c>
      <c r="M366" s="37">
        <v>196.46</v>
      </c>
      <c r="N366" s="37">
        <v>-178.76</v>
      </c>
      <c r="O366" s="36" t="s">
        <v>103</v>
      </c>
      <c r="P366" s="36">
        <v>1</v>
      </c>
      <c r="Q366" s="41">
        <f t="shared" si="10"/>
        <v>0.52358616278449976</v>
      </c>
      <c r="R366" s="38">
        <f t="shared" si="11"/>
        <v>0</v>
      </c>
    </row>
    <row r="367" spans="1:18" x14ac:dyDescent="0.2">
      <c r="A367" s="42" t="s">
        <v>1122</v>
      </c>
      <c r="B367" s="42" t="s">
        <v>1123</v>
      </c>
      <c r="C367" s="42" t="s">
        <v>1124</v>
      </c>
      <c r="D367" s="43">
        <v>45703</v>
      </c>
      <c r="E367" s="42" t="s">
        <v>1109</v>
      </c>
      <c r="F367" s="42" t="s">
        <v>29</v>
      </c>
      <c r="G367" s="42" t="s">
        <v>100</v>
      </c>
      <c r="H367" s="42" t="s">
        <v>34</v>
      </c>
      <c r="I367" s="42" t="s">
        <v>34</v>
      </c>
      <c r="J367" s="42" t="s">
        <v>121</v>
      </c>
      <c r="K367" s="42" t="s">
        <v>102</v>
      </c>
      <c r="L367" s="44">
        <v>323.16000000000003</v>
      </c>
      <c r="M367" s="44">
        <v>630.37</v>
      </c>
      <c r="N367" s="44">
        <v>307.20999999999998</v>
      </c>
      <c r="O367" s="42" t="s">
        <v>103</v>
      </c>
      <c r="P367" s="42">
        <v>0</v>
      </c>
      <c r="Q367" s="45">
        <f t="shared" si="10"/>
        <v>1.9506436440153483</v>
      </c>
      <c r="R367" s="46">
        <f t="shared" si="11"/>
        <v>0</v>
      </c>
    </row>
    <row r="368" spans="1:18" x14ac:dyDescent="0.2">
      <c r="A368" s="36" t="s">
        <v>1125</v>
      </c>
      <c r="B368" s="36" t="s">
        <v>216</v>
      </c>
      <c r="C368" s="36" t="s">
        <v>217</v>
      </c>
      <c r="D368" s="40">
        <v>45765</v>
      </c>
      <c r="E368" s="36" t="s">
        <v>1126</v>
      </c>
      <c r="F368" s="36" t="s">
        <v>25</v>
      </c>
      <c r="G368" s="36" t="s">
        <v>126</v>
      </c>
      <c r="H368" s="36" t="s">
        <v>34</v>
      </c>
      <c r="I368" s="36" t="s">
        <v>34</v>
      </c>
      <c r="J368" s="36" t="s">
        <v>121</v>
      </c>
      <c r="K368" s="36" t="s">
        <v>102</v>
      </c>
      <c r="L368" s="37">
        <v>43.22</v>
      </c>
      <c r="M368" s="37">
        <v>24.4</v>
      </c>
      <c r="N368" s="37">
        <v>-18.82</v>
      </c>
      <c r="O368" s="36" t="s">
        <v>103</v>
      </c>
      <c r="P368" s="36">
        <v>0</v>
      </c>
      <c r="Q368" s="41">
        <f t="shared" si="10"/>
        <v>0.56455344747801939</v>
      </c>
      <c r="R368" s="38">
        <f t="shared" si="11"/>
        <v>10</v>
      </c>
    </row>
    <row r="369" spans="1:18" x14ac:dyDescent="0.2">
      <c r="A369" s="42" t="s">
        <v>1127</v>
      </c>
      <c r="B369" s="42" t="s">
        <v>1128</v>
      </c>
      <c r="C369" s="42" t="s">
        <v>1129</v>
      </c>
      <c r="D369" s="43">
        <v>45682</v>
      </c>
      <c r="E369" s="42" t="s">
        <v>710</v>
      </c>
      <c r="F369" s="42" t="s">
        <v>29</v>
      </c>
      <c r="G369" s="42" t="s">
        <v>114</v>
      </c>
      <c r="H369" s="42" t="s">
        <v>34</v>
      </c>
      <c r="I369" s="42" t="s">
        <v>34</v>
      </c>
      <c r="J369" s="42" t="s">
        <v>152</v>
      </c>
      <c r="K369" s="42" t="s">
        <v>102</v>
      </c>
      <c r="L369" s="44">
        <v>368.97</v>
      </c>
      <c r="M369" s="44">
        <v>786.65</v>
      </c>
      <c r="N369" s="44">
        <v>417.68</v>
      </c>
      <c r="O369" s="42" t="s">
        <v>103</v>
      </c>
      <c r="P369" s="42">
        <v>0</v>
      </c>
      <c r="Q369" s="45">
        <f t="shared" si="10"/>
        <v>2.1320161530747757</v>
      </c>
      <c r="R369" s="46">
        <f t="shared" si="11"/>
        <v>10</v>
      </c>
    </row>
    <row r="370" spans="1:18" x14ac:dyDescent="0.2">
      <c r="A370" s="36" t="s">
        <v>1130</v>
      </c>
      <c r="B370" s="36" t="s">
        <v>1047</v>
      </c>
      <c r="C370" s="36" t="s">
        <v>1048</v>
      </c>
      <c r="D370" s="40">
        <v>45837</v>
      </c>
      <c r="E370" s="36" t="s">
        <v>1131</v>
      </c>
      <c r="F370" s="36" t="s">
        <v>22</v>
      </c>
      <c r="G370" s="36" t="s">
        <v>108</v>
      </c>
      <c r="H370" s="36" t="s">
        <v>34</v>
      </c>
      <c r="I370" s="36" t="s">
        <v>34</v>
      </c>
      <c r="J370" s="36" t="s">
        <v>115</v>
      </c>
      <c r="K370" s="36" t="s">
        <v>102</v>
      </c>
      <c r="L370" s="37">
        <v>59.7</v>
      </c>
      <c r="M370" s="37">
        <v>62.98</v>
      </c>
      <c r="N370" s="37">
        <v>3.28</v>
      </c>
      <c r="O370" s="36" t="s">
        <v>103</v>
      </c>
      <c r="P370" s="36">
        <v>0</v>
      </c>
      <c r="Q370" s="41">
        <f t="shared" si="10"/>
        <v>1.0549413735343383</v>
      </c>
      <c r="R370" s="38">
        <f t="shared" si="11"/>
        <v>0</v>
      </c>
    </row>
    <row r="371" spans="1:18" x14ac:dyDescent="0.2">
      <c r="A371" s="42" t="s">
        <v>1132</v>
      </c>
      <c r="B371" s="42" t="s">
        <v>1133</v>
      </c>
      <c r="C371" s="42" t="s">
        <v>1134</v>
      </c>
      <c r="D371" s="43">
        <v>46046</v>
      </c>
      <c r="E371" s="42" t="s">
        <v>1135</v>
      </c>
      <c r="F371" s="42" t="s">
        <v>22</v>
      </c>
      <c r="G371" s="42" t="s">
        <v>100</v>
      </c>
      <c r="H371" s="42" t="s">
        <v>26</v>
      </c>
      <c r="I371" s="42" t="s">
        <v>26</v>
      </c>
      <c r="J371" s="42" t="s">
        <v>303</v>
      </c>
      <c r="K371" s="42" t="s">
        <v>102</v>
      </c>
      <c r="L371" s="44">
        <v>89.7</v>
      </c>
      <c r="M371" s="44">
        <v>14.55</v>
      </c>
      <c r="N371" s="44">
        <v>-75.150000000000006</v>
      </c>
      <c r="O371" s="42" t="s">
        <v>103</v>
      </c>
      <c r="P371" s="42">
        <v>0</v>
      </c>
      <c r="Q371" s="45">
        <f t="shared" si="10"/>
        <v>0.16220735785953178</v>
      </c>
      <c r="R371" s="46">
        <f t="shared" si="11"/>
        <v>0</v>
      </c>
    </row>
    <row r="372" spans="1:18" x14ac:dyDescent="0.2">
      <c r="A372" s="36" t="s">
        <v>1136</v>
      </c>
      <c r="B372" s="36" t="s">
        <v>1137</v>
      </c>
      <c r="C372" s="36" t="s">
        <v>1138</v>
      </c>
      <c r="D372" s="40">
        <v>45668</v>
      </c>
      <c r="E372" s="36" t="s">
        <v>1139</v>
      </c>
      <c r="F372" s="36" t="s">
        <v>33</v>
      </c>
      <c r="G372" s="36" t="s">
        <v>114</v>
      </c>
      <c r="H372" s="36" t="s">
        <v>34</v>
      </c>
      <c r="I372" s="36" t="s">
        <v>34</v>
      </c>
      <c r="J372" s="36" t="s">
        <v>121</v>
      </c>
      <c r="K372" s="36" t="s">
        <v>102</v>
      </c>
      <c r="L372" s="37">
        <v>476.31</v>
      </c>
      <c r="M372" s="37">
        <v>77.75</v>
      </c>
      <c r="N372" s="37">
        <v>-398.56</v>
      </c>
      <c r="O372" s="36" t="s">
        <v>103</v>
      </c>
      <c r="P372" s="36">
        <v>0</v>
      </c>
      <c r="Q372" s="41">
        <f t="shared" si="10"/>
        <v>0.16323402825890701</v>
      </c>
      <c r="R372" s="38">
        <f t="shared" si="11"/>
        <v>0</v>
      </c>
    </row>
    <row r="373" spans="1:18" x14ac:dyDescent="0.2">
      <c r="A373" s="42" t="s">
        <v>1140</v>
      </c>
      <c r="B373" s="42" t="s">
        <v>1141</v>
      </c>
      <c r="C373" s="42" t="s">
        <v>1142</v>
      </c>
      <c r="D373" s="43">
        <v>46032</v>
      </c>
      <c r="E373" s="42" t="s">
        <v>1143</v>
      </c>
      <c r="F373" s="42" t="s">
        <v>19</v>
      </c>
      <c r="G373" s="42" t="s">
        <v>108</v>
      </c>
      <c r="H373" s="42" t="s">
        <v>34</v>
      </c>
      <c r="I373" s="42" t="s">
        <v>34</v>
      </c>
      <c r="J373" s="42" t="s">
        <v>188</v>
      </c>
      <c r="K373" s="42" t="s">
        <v>102</v>
      </c>
      <c r="L373" s="44">
        <v>471.5</v>
      </c>
      <c r="M373" s="44">
        <v>1014.52</v>
      </c>
      <c r="N373" s="44">
        <v>543.02</v>
      </c>
      <c r="O373" s="42" t="s">
        <v>103</v>
      </c>
      <c r="P373" s="42">
        <v>3</v>
      </c>
      <c r="Q373" s="45">
        <f t="shared" si="10"/>
        <v>2.1516861081654293</v>
      </c>
      <c r="R373" s="46">
        <f t="shared" si="11"/>
        <v>10</v>
      </c>
    </row>
    <row r="374" spans="1:18" x14ac:dyDescent="0.2">
      <c r="A374" s="36" t="s">
        <v>1144</v>
      </c>
      <c r="B374" s="36" t="s">
        <v>268</v>
      </c>
      <c r="C374" s="36" t="s">
        <v>269</v>
      </c>
      <c r="D374" s="40">
        <v>45905</v>
      </c>
      <c r="E374" s="36" t="s">
        <v>1145</v>
      </c>
      <c r="F374" s="36" t="s">
        <v>31</v>
      </c>
      <c r="G374" s="36" t="s">
        <v>114</v>
      </c>
      <c r="H374" s="36" t="s">
        <v>34</v>
      </c>
      <c r="I374" s="36" t="s">
        <v>34</v>
      </c>
      <c r="J374" s="36" t="s">
        <v>121</v>
      </c>
      <c r="K374" s="36" t="s">
        <v>102</v>
      </c>
      <c r="L374" s="37">
        <v>221.35</v>
      </c>
      <c r="M374" s="37">
        <v>318.3</v>
      </c>
      <c r="N374" s="37">
        <v>96.95</v>
      </c>
      <c r="O374" s="36" t="s">
        <v>103</v>
      </c>
      <c r="P374" s="36">
        <v>0</v>
      </c>
      <c r="Q374" s="41">
        <f t="shared" si="10"/>
        <v>1.4379941269482721</v>
      </c>
      <c r="R374" s="38">
        <f t="shared" si="11"/>
        <v>0</v>
      </c>
    </row>
    <row r="375" spans="1:18" x14ac:dyDescent="0.2">
      <c r="A375" s="42" t="s">
        <v>1146</v>
      </c>
      <c r="B375" s="42" t="s">
        <v>517</v>
      </c>
      <c r="C375" s="42" t="s">
        <v>518</v>
      </c>
      <c r="D375" s="43">
        <v>45685</v>
      </c>
      <c r="E375" s="42" t="s">
        <v>667</v>
      </c>
      <c r="F375" s="42" t="s">
        <v>27</v>
      </c>
      <c r="G375" s="42" t="s">
        <v>108</v>
      </c>
      <c r="H375" s="42" t="s">
        <v>34</v>
      </c>
      <c r="I375" s="42" t="s">
        <v>34</v>
      </c>
      <c r="J375" s="42" t="s">
        <v>121</v>
      </c>
      <c r="K375" s="42" t="s">
        <v>102</v>
      </c>
      <c r="L375" s="44">
        <v>110.72</v>
      </c>
      <c r="M375" s="44">
        <v>46.28</v>
      </c>
      <c r="N375" s="44">
        <v>-64.44</v>
      </c>
      <c r="O375" s="42" t="s">
        <v>103</v>
      </c>
      <c r="P375" s="42">
        <v>0</v>
      </c>
      <c r="Q375" s="45">
        <f t="shared" si="10"/>
        <v>0.4179913294797688</v>
      </c>
      <c r="R375" s="46">
        <f t="shared" si="11"/>
        <v>0</v>
      </c>
    </row>
    <row r="376" spans="1:18" x14ac:dyDescent="0.2">
      <c r="A376" s="36" t="s">
        <v>1147</v>
      </c>
      <c r="B376" s="36" t="s">
        <v>244</v>
      </c>
      <c r="C376" s="36" t="s">
        <v>245</v>
      </c>
      <c r="D376" s="40">
        <v>46031</v>
      </c>
      <c r="E376" s="36" t="s">
        <v>1148</v>
      </c>
      <c r="F376" s="36" t="s">
        <v>25</v>
      </c>
      <c r="G376" s="36" t="s">
        <v>100</v>
      </c>
      <c r="H376" s="36" t="s">
        <v>34</v>
      </c>
      <c r="I376" s="36" t="s">
        <v>34</v>
      </c>
      <c r="J376" s="36" t="s">
        <v>115</v>
      </c>
      <c r="K376" s="36" t="s">
        <v>103</v>
      </c>
      <c r="L376" s="37">
        <v>333.69</v>
      </c>
      <c r="M376" s="37">
        <v>218.33</v>
      </c>
      <c r="N376" s="37">
        <v>-115.36</v>
      </c>
      <c r="O376" s="36" t="s">
        <v>103</v>
      </c>
      <c r="P376" s="36">
        <v>0</v>
      </c>
      <c r="Q376" s="41">
        <f t="shared" si="10"/>
        <v>0.6542899097965178</v>
      </c>
      <c r="R376" s="38">
        <f t="shared" si="11"/>
        <v>20</v>
      </c>
    </row>
    <row r="377" spans="1:18" x14ac:dyDescent="0.2">
      <c r="A377" s="42" t="s">
        <v>1149</v>
      </c>
      <c r="B377" s="42" t="s">
        <v>714</v>
      </c>
      <c r="C377" s="42" t="s">
        <v>715</v>
      </c>
      <c r="D377" s="43">
        <v>45950</v>
      </c>
      <c r="E377" s="42" t="s">
        <v>1150</v>
      </c>
      <c r="F377" s="42" t="s">
        <v>25</v>
      </c>
      <c r="G377" s="42" t="s">
        <v>114</v>
      </c>
      <c r="H377" s="42" t="s">
        <v>34</v>
      </c>
      <c r="I377" s="42" t="s">
        <v>34</v>
      </c>
      <c r="J377" s="42" t="s">
        <v>115</v>
      </c>
      <c r="K377" s="42" t="s">
        <v>102</v>
      </c>
      <c r="L377" s="44">
        <v>250.56</v>
      </c>
      <c r="M377" s="44">
        <v>30.04</v>
      </c>
      <c r="N377" s="44">
        <v>-220.52</v>
      </c>
      <c r="O377" s="42" t="s">
        <v>103</v>
      </c>
      <c r="P377" s="42">
        <v>1</v>
      </c>
      <c r="Q377" s="45">
        <f t="shared" si="10"/>
        <v>0.11989144316730523</v>
      </c>
      <c r="R377" s="46">
        <f t="shared" si="11"/>
        <v>0</v>
      </c>
    </row>
    <row r="378" spans="1:18" x14ac:dyDescent="0.2">
      <c r="A378" s="36" t="s">
        <v>1151</v>
      </c>
      <c r="B378" s="36" t="s">
        <v>50</v>
      </c>
      <c r="C378" s="36" t="s">
        <v>51</v>
      </c>
      <c r="D378" s="40">
        <v>45808</v>
      </c>
      <c r="E378" s="36" t="s">
        <v>1152</v>
      </c>
      <c r="F378" s="36" t="s">
        <v>27</v>
      </c>
      <c r="G378" s="36" t="s">
        <v>120</v>
      </c>
      <c r="H378" s="36" t="s">
        <v>34</v>
      </c>
      <c r="I378" s="36" t="s">
        <v>20</v>
      </c>
      <c r="J378" s="36" t="s">
        <v>143</v>
      </c>
      <c r="K378" s="36" t="s">
        <v>102</v>
      </c>
      <c r="L378" s="37">
        <v>1401.98</v>
      </c>
      <c r="M378" s="37">
        <v>3306.95</v>
      </c>
      <c r="N378" s="37">
        <v>1904.97</v>
      </c>
      <c r="O378" s="36" t="s">
        <v>318</v>
      </c>
      <c r="P378" s="36">
        <v>1</v>
      </c>
      <c r="Q378" s="41">
        <f t="shared" si="10"/>
        <v>2.3587711664931024</v>
      </c>
      <c r="R378" s="38">
        <f t="shared" si="11"/>
        <v>55</v>
      </c>
    </row>
    <row r="379" spans="1:18" x14ac:dyDescent="0.2">
      <c r="A379" s="42" t="s">
        <v>1153</v>
      </c>
      <c r="B379" s="42" t="s">
        <v>232</v>
      </c>
      <c r="C379" s="42" t="s">
        <v>233</v>
      </c>
      <c r="D379" s="43">
        <v>45900</v>
      </c>
      <c r="E379" s="42" t="s">
        <v>1154</v>
      </c>
      <c r="F379" s="42" t="s">
        <v>27</v>
      </c>
      <c r="G379" s="42" t="s">
        <v>120</v>
      </c>
      <c r="H379" s="42" t="s">
        <v>34</v>
      </c>
      <c r="I379" s="42" t="s">
        <v>34</v>
      </c>
      <c r="J379" s="42" t="s">
        <v>115</v>
      </c>
      <c r="K379" s="42" t="s">
        <v>103</v>
      </c>
      <c r="L379" s="44">
        <v>394.59</v>
      </c>
      <c r="M379" s="44">
        <v>408.83</v>
      </c>
      <c r="N379" s="44">
        <v>14.24</v>
      </c>
      <c r="O379" s="42" t="s">
        <v>103</v>
      </c>
      <c r="P379" s="42">
        <v>0</v>
      </c>
      <c r="Q379" s="45">
        <f t="shared" si="10"/>
        <v>1.0360880914366812</v>
      </c>
      <c r="R379" s="46">
        <f t="shared" si="11"/>
        <v>20</v>
      </c>
    </row>
    <row r="380" spans="1:18" x14ac:dyDescent="0.2">
      <c r="A380" s="36" t="s">
        <v>1155</v>
      </c>
      <c r="B380" s="36" t="s">
        <v>198</v>
      </c>
      <c r="C380" s="36" t="s">
        <v>199</v>
      </c>
      <c r="D380" s="40">
        <v>45986</v>
      </c>
      <c r="E380" s="36" t="s">
        <v>1131</v>
      </c>
      <c r="F380" s="36" t="s">
        <v>19</v>
      </c>
      <c r="G380" s="36" t="s">
        <v>131</v>
      </c>
      <c r="H380" s="36" t="s">
        <v>28</v>
      </c>
      <c r="I380" s="36" t="s">
        <v>28</v>
      </c>
      <c r="J380" s="36" t="s">
        <v>109</v>
      </c>
      <c r="K380" s="36" t="s">
        <v>102</v>
      </c>
      <c r="L380" s="37">
        <v>100.59</v>
      </c>
      <c r="M380" s="37">
        <v>195.96</v>
      </c>
      <c r="N380" s="37">
        <v>95.37</v>
      </c>
      <c r="O380" s="36" t="s">
        <v>103</v>
      </c>
      <c r="P380" s="36">
        <v>0</v>
      </c>
      <c r="Q380" s="41">
        <f t="shared" si="10"/>
        <v>1.9481061735759022</v>
      </c>
      <c r="R380" s="38">
        <f t="shared" si="11"/>
        <v>0</v>
      </c>
    </row>
    <row r="381" spans="1:18" x14ac:dyDescent="0.2">
      <c r="A381" s="42" t="s">
        <v>1156</v>
      </c>
      <c r="B381" s="42" t="s">
        <v>220</v>
      </c>
      <c r="C381" s="42" t="s">
        <v>221</v>
      </c>
      <c r="D381" s="43">
        <v>45680</v>
      </c>
      <c r="E381" s="42" t="s">
        <v>1157</v>
      </c>
      <c r="F381" s="42" t="s">
        <v>19</v>
      </c>
      <c r="G381" s="42" t="s">
        <v>108</v>
      </c>
      <c r="H381" s="42" t="s">
        <v>30</v>
      </c>
      <c r="I381" s="42" t="s">
        <v>30</v>
      </c>
      <c r="J381" s="42" t="s">
        <v>143</v>
      </c>
      <c r="K381" s="42" t="s">
        <v>102</v>
      </c>
      <c r="L381" s="44">
        <v>237.88</v>
      </c>
      <c r="M381" s="44">
        <v>118.4</v>
      </c>
      <c r="N381" s="44">
        <v>-119.48</v>
      </c>
      <c r="O381" s="42" t="s">
        <v>103</v>
      </c>
      <c r="P381" s="42">
        <v>0</v>
      </c>
      <c r="Q381" s="45">
        <f t="shared" si="10"/>
        <v>0.49772994787287711</v>
      </c>
      <c r="R381" s="46">
        <f t="shared" si="11"/>
        <v>0</v>
      </c>
    </row>
    <row r="382" spans="1:18" x14ac:dyDescent="0.2">
      <c r="A382" s="36" t="s">
        <v>1158</v>
      </c>
      <c r="B382" s="36" t="s">
        <v>352</v>
      </c>
      <c r="C382" s="36" t="s">
        <v>353</v>
      </c>
      <c r="D382" s="40">
        <v>45735</v>
      </c>
      <c r="E382" s="36" t="s">
        <v>1109</v>
      </c>
      <c r="F382" s="36" t="s">
        <v>22</v>
      </c>
      <c r="G382" s="36" t="s">
        <v>108</v>
      </c>
      <c r="H382" s="36" t="s">
        <v>34</v>
      </c>
      <c r="I382" s="36" t="s">
        <v>34</v>
      </c>
      <c r="J382" s="36" t="s">
        <v>121</v>
      </c>
      <c r="K382" s="36" t="s">
        <v>102</v>
      </c>
      <c r="L382" s="37">
        <v>57.38</v>
      </c>
      <c r="M382" s="37">
        <v>84.34</v>
      </c>
      <c r="N382" s="37">
        <v>26.96</v>
      </c>
      <c r="O382" s="36" t="s">
        <v>103</v>
      </c>
      <c r="P382" s="36">
        <v>0</v>
      </c>
      <c r="Q382" s="41">
        <f t="shared" si="10"/>
        <v>1.4698501219937261</v>
      </c>
      <c r="R382" s="38">
        <f t="shared" si="11"/>
        <v>0</v>
      </c>
    </row>
    <row r="383" spans="1:18" x14ac:dyDescent="0.2">
      <c r="A383" s="42" t="s">
        <v>1159</v>
      </c>
      <c r="B383" s="42" t="s">
        <v>1053</v>
      </c>
      <c r="C383" s="42" t="s">
        <v>1054</v>
      </c>
      <c r="D383" s="43">
        <v>46045</v>
      </c>
      <c r="E383" s="42" t="s">
        <v>1160</v>
      </c>
      <c r="F383" s="42" t="s">
        <v>22</v>
      </c>
      <c r="G383" s="42" t="s">
        <v>108</v>
      </c>
      <c r="H383" s="42" t="s">
        <v>30</v>
      </c>
      <c r="I383" s="42" t="s">
        <v>30</v>
      </c>
      <c r="J383" s="42" t="s">
        <v>143</v>
      </c>
      <c r="K383" s="42" t="s">
        <v>102</v>
      </c>
      <c r="L383" s="44">
        <v>281.26</v>
      </c>
      <c r="M383" s="44">
        <v>520.26</v>
      </c>
      <c r="N383" s="44">
        <v>239</v>
      </c>
      <c r="O383" s="42" t="s">
        <v>103</v>
      </c>
      <c r="P383" s="42">
        <v>0</v>
      </c>
      <c r="Q383" s="45">
        <f t="shared" si="10"/>
        <v>1.8497475645310388</v>
      </c>
      <c r="R383" s="46">
        <f t="shared" si="11"/>
        <v>0</v>
      </c>
    </row>
    <row r="384" spans="1:18" x14ac:dyDescent="0.2">
      <c r="A384" s="36" t="s">
        <v>1161</v>
      </c>
      <c r="B384" s="36" t="s">
        <v>571</v>
      </c>
      <c r="C384" s="36" t="s">
        <v>572</v>
      </c>
      <c r="D384" s="40">
        <v>45932</v>
      </c>
      <c r="E384" s="36" t="s">
        <v>1162</v>
      </c>
      <c r="F384" s="36" t="s">
        <v>33</v>
      </c>
      <c r="G384" s="36" t="s">
        <v>114</v>
      </c>
      <c r="H384" s="36" t="s">
        <v>34</v>
      </c>
      <c r="I384" s="36" t="s">
        <v>34</v>
      </c>
      <c r="J384" s="36" t="s">
        <v>188</v>
      </c>
      <c r="K384" s="36" t="s">
        <v>103</v>
      </c>
      <c r="L384" s="37">
        <v>468.82</v>
      </c>
      <c r="M384" s="37">
        <v>590.70000000000005</v>
      </c>
      <c r="N384" s="37">
        <v>121.88</v>
      </c>
      <c r="O384" s="36" t="s">
        <v>103</v>
      </c>
      <c r="P384" s="36">
        <v>0</v>
      </c>
      <c r="Q384" s="41">
        <f t="shared" si="10"/>
        <v>1.2599718442045988</v>
      </c>
      <c r="R384" s="38">
        <f t="shared" si="11"/>
        <v>20</v>
      </c>
    </row>
    <row r="385" spans="1:18" x14ac:dyDescent="0.2">
      <c r="A385" s="42" t="s">
        <v>1163</v>
      </c>
      <c r="B385" s="42" t="s">
        <v>111</v>
      </c>
      <c r="C385" s="42" t="s">
        <v>112</v>
      </c>
      <c r="D385" s="43">
        <v>45698</v>
      </c>
      <c r="E385" s="42" t="s">
        <v>1164</v>
      </c>
      <c r="F385" s="42" t="s">
        <v>31</v>
      </c>
      <c r="G385" s="42" t="s">
        <v>108</v>
      </c>
      <c r="H385" s="42" t="s">
        <v>34</v>
      </c>
      <c r="I385" s="42" t="s">
        <v>34</v>
      </c>
      <c r="J385" s="42" t="s">
        <v>115</v>
      </c>
      <c r="K385" s="42" t="s">
        <v>102</v>
      </c>
      <c r="L385" s="44">
        <v>428.43</v>
      </c>
      <c r="M385" s="44">
        <v>32.729999999999997</v>
      </c>
      <c r="N385" s="44">
        <v>-395.7</v>
      </c>
      <c r="O385" s="42" t="s">
        <v>103</v>
      </c>
      <c r="P385" s="42">
        <v>2</v>
      </c>
      <c r="Q385" s="45">
        <f t="shared" si="10"/>
        <v>7.6395210419438406E-2</v>
      </c>
      <c r="R385" s="46">
        <f t="shared" si="11"/>
        <v>0</v>
      </c>
    </row>
    <row r="386" spans="1:18" x14ac:dyDescent="0.2">
      <c r="A386" s="36" t="s">
        <v>1165</v>
      </c>
      <c r="B386" s="36" t="s">
        <v>1034</v>
      </c>
      <c r="C386" s="36" t="s">
        <v>1035</v>
      </c>
      <c r="D386" s="40">
        <v>46004</v>
      </c>
      <c r="E386" s="36" t="s">
        <v>234</v>
      </c>
      <c r="F386" s="36" t="s">
        <v>33</v>
      </c>
      <c r="G386" s="36" t="s">
        <v>131</v>
      </c>
      <c r="H386" s="36" t="s">
        <v>34</v>
      </c>
      <c r="I386" s="36" t="s">
        <v>34</v>
      </c>
      <c r="J386" s="36" t="s">
        <v>121</v>
      </c>
      <c r="K386" s="36" t="s">
        <v>103</v>
      </c>
      <c r="L386" s="37">
        <v>68.94</v>
      </c>
      <c r="M386" s="37">
        <v>114.84</v>
      </c>
      <c r="N386" s="37">
        <v>45.9</v>
      </c>
      <c r="O386" s="36" t="s">
        <v>103</v>
      </c>
      <c r="P386" s="36">
        <v>0</v>
      </c>
      <c r="Q386" s="41">
        <f t="shared" ref="Q386:Q449" si="12">IF(L386=0,0,M386/L386)</f>
        <v>1.6657963446475197</v>
      </c>
      <c r="R386" s="38">
        <f t="shared" ref="R386:R449" si="13">IF(O386="YES",30,0)+IF(Q386&gt;3,25,IF(Q386&gt;2,10,0))+IF(K386="No",20,0)+IF(L386&gt;1000,15,IF(L386&gt;500,7,0))+IF(G386="Unknown-Device",10,0)</f>
        <v>20</v>
      </c>
    </row>
    <row r="387" spans="1:18" x14ac:dyDescent="0.2">
      <c r="A387" s="42" t="s">
        <v>1166</v>
      </c>
      <c r="B387" s="42" t="s">
        <v>761</v>
      </c>
      <c r="C387" s="42" t="s">
        <v>762</v>
      </c>
      <c r="D387" s="43">
        <v>46071</v>
      </c>
      <c r="E387" s="42" t="s">
        <v>1167</v>
      </c>
      <c r="F387" s="42" t="s">
        <v>27</v>
      </c>
      <c r="G387" s="42" t="s">
        <v>114</v>
      </c>
      <c r="H387" s="42" t="s">
        <v>34</v>
      </c>
      <c r="I387" s="42" t="s">
        <v>34</v>
      </c>
      <c r="J387" s="42" t="s">
        <v>152</v>
      </c>
      <c r="K387" s="42" t="s">
        <v>102</v>
      </c>
      <c r="L387" s="44">
        <v>30.91</v>
      </c>
      <c r="M387" s="44">
        <v>5.33</v>
      </c>
      <c r="N387" s="44">
        <v>-25.58</v>
      </c>
      <c r="O387" s="42" t="s">
        <v>103</v>
      </c>
      <c r="P387" s="42">
        <v>0</v>
      </c>
      <c r="Q387" s="45">
        <f t="shared" si="12"/>
        <v>0.17243610482044647</v>
      </c>
      <c r="R387" s="46">
        <f t="shared" si="13"/>
        <v>0</v>
      </c>
    </row>
    <row r="388" spans="1:18" x14ac:dyDescent="0.2">
      <c r="A388" s="36" t="s">
        <v>1168</v>
      </c>
      <c r="B388" s="36" t="s">
        <v>1169</v>
      </c>
      <c r="C388" s="36" t="s">
        <v>1170</v>
      </c>
      <c r="D388" s="40">
        <v>46079</v>
      </c>
      <c r="E388" s="36" t="s">
        <v>1171</v>
      </c>
      <c r="F388" s="36" t="s">
        <v>27</v>
      </c>
      <c r="G388" s="36" t="s">
        <v>100</v>
      </c>
      <c r="H388" s="36" t="s">
        <v>34</v>
      </c>
      <c r="I388" s="36" t="s">
        <v>34</v>
      </c>
      <c r="J388" s="36" t="s">
        <v>121</v>
      </c>
      <c r="K388" s="36" t="s">
        <v>102</v>
      </c>
      <c r="L388" s="37">
        <v>418.71</v>
      </c>
      <c r="M388" s="37">
        <v>237.56</v>
      </c>
      <c r="N388" s="37">
        <v>-181.15</v>
      </c>
      <c r="O388" s="36" t="s">
        <v>103</v>
      </c>
      <c r="P388" s="36">
        <v>2</v>
      </c>
      <c r="Q388" s="41">
        <f t="shared" si="12"/>
        <v>0.56736165842707365</v>
      </c>
      <c r="R388" s="38">
        <f t="shared" si="13"/>
        <v>0</v>
      </c>
    </row>
    <row r="389" spans="1:18" x14ac:dyDescent="0.2">
      <c r="A389" s="42" t="s">
        <v>1172</v>
      </c>
      <c r="B389" s="42" t="s">
        <v>50</v>
      </c>
      <c r="C389" s="42" t="s">
        <v>51</v>
      </c>
      <c r="D389" s="43">
        <v>45856</v>
      </c>
      <c r="E389" s="42" t="s">
        <v>1173</v>
      </c>
      <c r="F389" s="42" t="s">
        <v>25</v>
      </c>
      <c r="G389" s="42" t="s">
        <v>126</v>
      </c>
      <c r="H389" s="42" t="s">
        <v>34</v>
      </c>
      <c r="I389" s="42" t="s">
        <v>30</v>
      </c>
      <c r="J389" s="42" t="s">
        <v>183</v>
      </c>
      <c r="K389" s="42" t="s">
        <v>102</v>
      </c>
      <c r="L389" s="44">
        <v>5333.1</v>
      </c>
      <c r="M389" s="44">
        <v>22806.13</v>
      </c>
      <c r="N389" s="44">
        <v>17473.03</v>
      </c>
      <c r="O389" s="42" t="s">
        <v>318</v>
      </c>
      <c r="P389" s="42">
        <v>1</v>
      </c>
      <c r="Q389" s="45">
        <f t="shared" si="12"/>
        <v>4.2763364647203312</v>
      </c>
      <c r="R389" s="46">
        <f t="shared" si="13"/>
        <v>80</v>
      </c>
    </row>
    <row r="390" spans="1:18" x14ac:dyDescent="0.2">
      <c r="A390" s="36" t="s">
        <v>1174</v>
      </c>
      <c r="B390" s="36" t="s">
        <v>435</v>
      </c>
      <c r="C390" s="36" t="s">
        <v>436</v>
      </c>
      <c r="D390" s="40">
        <v>45958</v>
      </c>
      <c r="E390" s="36" t="s">
        <v>1175</v>
      </c>
      <c r="F390" s="36" t="s">
        <v>33</v>
      </c>
      <c r="G390" s="36" t="s">
        <v>108</v>
      </c>
      <c r="H390" s="36" t="s">
        <v>34</v>
      </c>
      <c r="I390" s="36" t="s">
        <v>34</v>
      </c>
      <c r="J390" s="36" t="s">
        <v>188</v>
      </c>
      <c r="K390" s="36" t="s">
        <v>102</v>
      </c>
      <c r="L390" s="37">
        <v>215.6</v>
      </c>
      <c r="M390" s="37">
        <v>196.58</v>
      </c>
      <c r="N390" s="37">
        <v>-19.02</v>
      </c>
      <c r="O390" s="36" t="s">
        <v>103</v>
      </c>
      <c r="P390" s="36">
        <v>2</v>
      </c>
      <c r="Q390" s="41">
        <f t="shared" si="12"/>
        <v>0.91178107606679049</v>
      </c>
      <c r="R390" s="38">
        <f t="shared" si="13"/>
        <v>0</v>
      </c>
    </row>
    <row r="391" spans="1:18" x14ac:dyDescent="0.2">
      <c r="A391" s="42" t="s">
        <v>1176</v>
      </c>
      <c r="B391" s="42" t="s">
        <v>1177</v>
      </c>
      <c r="C391" s="42" t="s">
        <v>1178</v>
      </c>
      <c r="D391" s="43">
        <v>45956</v>
      </c>
      <c r="E391" s="42" t="s">
        <v>1179</v>
      </c>
      <c r="F391" s="42" t="s">
        <v>22</v>
      </c>
      <c r="G391" s="42" t="s">
        <v>120</v>
      </c>
      <c r="H391" s="42" t="s">
        <v>34</v>
      </c>
      <c r="I391" s="42" t="s">
        <v>34</v>
      </c>
      <c r="J391" s="42" t="s">
        <v>121</v>
      </c>
      <c r="K391" s="42" t="s">
        <v>103</v>
      </c>
      <c r="L391" s="44">
        <v>61.76</v>
      </c>
      <c r="M391" s="44">
        <v>105.92</v>
      </c>
      <c r="N391" s="44">
        <v>44.16</v>
      </c>
      <c r="O391" s="42" t="s">
        <v>103</v>
      </c>
      <c r="P391" s="42">
        <v>0</v>
      </c>
      <c r="Q391" s="45">
        <f t="shared" si="12"/>
        <v>1.7150259067357514</v>
      </c>
      <c r="R391" s="46">
        <f t="shared" si="13"/>
        <v>20</v>
      </c>
    </row>
    <row r="392" spans="1:18" x14ac:dyDescent="0.2">
      <c r="A392" s="36" t="s">
        <v>1180</v>
      </c>
      <c r="B392" s="36" t="s">
        <v>581</v>
      </c>
      <c r="C392" s="36" t="s">
        <v>582</v>
      </c>
      <c r="D392" s="40">
        <v>45834</v>
      </c>
      <c r="E392" s="36" t="s">
        <v>1181</v>
      </c>
      <c r="F392" s="36" t="s">
        <v>31</v>
      </c>
      <c r="G392" s="36" t="s">
        <v>114</v>
      </c>
      <c r="H392" s="36" t="s">
        <v>34</v>
      </c>
      <c r="I392" s="36" t="s">
        <v>34</v>
      </c>
      <c r="J392" s="36" t="s">
        <v>152</v>
      </c>
      <c r="K392" s="36" t="s">
        <v>102</v>
      </c>
      <c r="L392" s="37">
        <v>197.69</v>
      </c>
      <c r="M392" s="37">
        <v>211.19</v>
      </c>
      <c r="N392" s="37">
        <v>13.5</v>
      </c>
      <c r="O392" s="36" t="s">
        <v>103</v>
      </c>
      <c r="P392" s="36">
        <v>0</v>
      </c>
      <c r="Q392" s="41">
        <f t="shared" si="12"/>
        <v>1.0682887348879559</v>
      </c>
      <c r="R392" s="38">
        <f t="shared" si="13"/>
        <v>0</v>
      </c>
    </row>
    <row r="393" spans="1:18" x14ac:dyDescent="0.2">
      <c r="A393" s="42" t="s">
        <v>1182</v>
      </c>
      <c r="B393" s="42" t="s">
        <v>596</v>
      </c>
      <c r="C393" s="42" t="s">
        <v>597</v>
      </c>
      <c r="D393" s="43">
        <v>45746</v>
      </c>
      <c r="E393" s="42" t="s">
        <v>1183</v>
      </c>
      <c r="F393" s="42" t="s">
        <v>27</v>
      </c>
      <c r="G393" s="42" t="s">
        <v>114</v>
      </c>
      <c r="H393" s="42" t="s">
        <v>32</v>
      </c>
      <c r="I393" s="42" t="s">
        <v>32</v>
      </c>
      <c r="J393" s="42" t="s">
        <v>132</v>
      </c>
      <c r="K393" s="42" t="s">
        <v>103</v>
      </c>
      <c r="L393" s="44">
        <v>80.489999999999995</v>
      </c>
      <c r="M393" s="44">
        <v>107.78</v>
      </c>
      <c r="N393" s="44">
        <v>27.29</v>
      </c>
      <c r="O393" s="42" t="s">
        <v>103</v>
      </c>
      <c r="P393" s="42">
        <v>2</v>
      </c>
      <c r="Q393" s="45">
        <f t="shared" si="12"/>
        <v>1.3390483289849673</v>
      </c>
      <c r="R393" s="46">
        <f t="shared" si="13"/>
        <v>20</v>
      </c>
    </row>
    <row r="394" spans="1:18" x14ac:dyDescent="0.2">
      <c r="A394" s="36" t="s">
        <v>1184</v>
      </c>
      <c r="B394" s="36" t="s">
        <v>596</v>
      </c>
      <c r="C394" s="36" t="s">
        <v>597</v>
      </c>
      <c r="D394" s="40">
        <v>45860</v>
      </c>
      <c r="E394" s="36" t="s">
        <v>1185</v>
      </c>
      <c r="F394" s="36" t="s">
        <v>19</v>
      </c>
      <c r="G394" s="36" t="s">
        <v>120</v>
      </c>
      <c r="H394" s="36" t="s">
        <v>32</v>
      </c>
      <c r="I394" s="36" t="s">
        <v>32</v>
      </c>
      <c r="J394" s="36" t="s">
        <v>132</v>
      </c>
      <c r="K394" s="36" t="s">
        <v>103</v>
      </c>
      <c r="L394" s="37">
        <v>126.41</v>
      </c>
      <c r="M394" s="37">
        <v>207.39</v>
      </c>
      <c r="N394" s="37">
        <v>80.98</v>
      </c>
      <c r="O394" s="36" t="s">
        <v>103</v>
      </c>
      <c r="P394" s="36">
        <v>2</v>
      </c>
      <c r="Q394" s="41">
        <f t="shared" si="12"/>
        <v>1.6406138754845343</v>
      </c>
      <c r="R394" s="38">
        <f t="shared" si="13"/>
        <v>20</v>
      </c>
    </row>
    <row r="395" spans="1:18" x14ac:dyDescent="0.2">
      <c r="A395" s="42" t="s">
        <v>1186</v>
      </c>
      <c r="B395" s="42" t="s">
        <v>123</v>
      </c>
      <c r="C395" s="42" t="s">
        <v>124</v>
      </c>
      <c r="D395" s="43">
        <v>45830</v>
      </c>
      <c r="E395" s="42" t="s">
        <v>1187</v>
      </c>
      <c r="F395" s="42" t="s">
        <v>27</v>
      </c>
      <c r="G395" s="42" t="s">
        <v>126</v>
      </c>
      <c r="H395" s="42" t="s">
        <v>34</v>
      </c>
      <c r="I395" s="42" t="s">
        <v>34</v>
      </c>
      <c r="J395" s="42" t="s">
        <v>121</v>
      </c>
      <c r="K395" s="42" t="s">
        <v>102</v>
      </c>
      <c r="L395" s="44">
        <v>147.37</v>
      </c>
      <c r="M395" s="44">
        <v>159.38999999999999</v>
      </c>
      <c r="N395" s="44">
        <v>12.02</v>
      </c>
      <c r="O395" s="42" t="s">
        <v>103</v>
      </c>
      <c r="P395" s="42">
        <v>0</v>
      </c>
      <c r="Q395" s="45">
        <f t="shared" si="12"/>
        <v>1.0815634118205875</v>
      </c>
      <c r="R395" s="46">
        <f t="shared" si="13"/>
        <v>10</v>
      </c>
    </row>
    <row r="396" spans="1:18" x14ac:dyDescent="0.2">
      <c r="A396" s="36" t="s">
        <v>1188</v>
      </c>
      <c r="B396" s="36" t="s">
        <v>185</v>
      </c>
      <c r="C396" s="36" t="s">
        <v>186</v>
      </c>
      <c r="D396" s="40">
        <v>45774</v>
      </c>
      <c r="E396" s="36" t="s">
        <v>1189</v>
      </c>
      <c r="F396" s="36" t="s">
        <v>22</v>
      </c>
      <c r="G396" s="36" t="s">
        <v>120</v>
      </c>
      <c r="H396" s="36" t="s">
        <v>34</v>
      </c>
      <c r="I396" s="36" t="s">
        <v>34</v>
      </c>
      <c r="J396" s="36" t="s">
        <v>188</v>
      </c>
      <c r="K396" s="36" t="s">
        <v>103</v>
      </c>
      <c r="L396" s="37">
        <v>487.37</v>
      </c>
      <c r="M396" s="37">
        <v>475.11</v>
      </c>
      <c r="N396" s="37">
        <v>-12.26</v>
      </c>
      <c r="O396" s="36" t="s">
        <v>103</v>
      </c>
      <c r="P396" s="36">
        <v>1</v>
      </c>
      <c r="Q396" s="41">
        <f t="shared" si="12"/>
        <v>0.97484457393766544</v>
      </c>
      <c r="R396" s="38">
        <f t="shared" si="13"/>
        <v>20</v>
      </c>
    </row>
    <row r="397" spans="1:18" x14ac:dyDescent="0.2">
      <c r="A397" s="42" t="s">
        <v>1190</v>
      </c>
      <c r="B397" s="42" t="s">
        <v>272</v>
      </c>
      <c r="C397" s="42" t="s">
        <v>273</v>
      </c>
      <c r="D397" s="43">
        <v>46031</v>
      </c>
      <c r="E397" s="42" t="s">
        <v>1191</v>
      </c>
      <c r="F397" s="42" t="s">
        <v>33</v>
      </c>
      <c r="G397" s="42" t="s">
        <v>114</v>
      </c>
      <c r="H397" s="42" t="s">
        <v>34</v>
      </c>
      <c r="I397" s="42" t="s">
        <v>34</v>
      </c>
      <c r="J397" s="42" t="s">
        <v>121</v>
      </c>
      <c r="K397" s="42" t="s">
        <v>102</v>
      </c>
      <c r="L397" s="44">
        <v>326.32</v>
      </c>
      <c r="M397" s="44">
        <v>134.91999999999999</v>
      </c>
      <c r="N397" s="44">
        <v>-191.4</v>
      </c>
      <c r="O397" s="42" t="s">
        <v>103</v>
      </c>
      <c r="P397" s="42">
        <v>2</v>
      </c>
      <c r="Q397" s="45">
        <f t="shared" si="12"/>
        <v>0.41345918117185582</v>
      </c>
      <c r="R397" s="46">
        <f t="shared" si="13"/>
        <v>0</v>
      </c>
    </row>
    <row r="398" spans="1:18" x14ac:dyDescent="0.2">
      <c r="A398" s="36" t="s">
        <v>1192</v>
      </c>
      <c r="B398" s="36" t="s">
        <v>654</v>
      </c>
      <c r="C398" s="36" t="s">
        <v>655</v>
      </c>
      <c r="D398" s="40">
        <v>45906</v>
      </c>
      <c r="E398" s="36" t="s">
        <v>1193</v>
      </c>
      <c r="F398" s="36" t="s">
        <v>22</v>
      </c>
      <c r="G398" s="36" t="s">
        <v>131</v>
      </c>
      <c r="H398" s="36" t="s">
        <v>30</v>
      </c>
      <c r="I398" s="36" t="s">
        <v>30</v>
      </c>
      <c r="J398" s="36" t="s">
        <v>143</v>
      </c>
      <c r="K398" s="36" t="s">
        <v>102</v>
      </c>
      <c r="L398" s="37">
        <v>193.22</v>
      </c>
      <c r="M398" s="37">
        <v>23.89</v>
      </c>
      <c r="N398" s="37">
        <v>-169.33</v>
      </c>
      <c r="O398" s="36" t="s">
        <v>103</v>
      </c>
      <c r="P398" s="36">
        <v>0</v>
      </c>
      <c r="Q398" s="41">
        <f t="shared" si="12"/>
        <v>0.1236414449849912</v>
      </c>
      <c r="R398" s="38">
        <f t="shared" si="13"/>
        <v>0</v>
      </c>
    </row>
    <row r="399" spans="1:18" x14ac:dyDescent="0.2">
      <c r="A399" s="42" t="s">
        <v>1194</v>
      </c>
      <c r="B399" s="42" t="s">
        <v>529</v>
      </c>
      <c r="C399" s="42" t="s">
        <v>530</v>
      </c>
      <c r="D399" s="43">
        <v>45817</v>
      </c>
      <c r="E399" s="42" t="s">
        <v>1195</v>
      </c>
      <c r="F399" s="42" t="s">
        <v>31</v>
      </c>
      <c r="G399" s="42" t="s">
        <v>108</v>
      </c>
      <c r="H399" s="42" t="s">
        <v>30</v>
      </c>
      <c r="I399" s="42" t="s">
        <v>30</v>
      </c>
      <c r="J399" s="42" t="s">
        <v>143</v>
      </c>
      <c r="K399" s="42" t="s">
        <v>102</v>
      </c>
      <c r="L399" s="44">
        <v>207.66</v>
      </c>
      <c r="M399" s="44">
        <v>356.58</v>
      </c>
      <c r="N399" s="44">
        <v>148.91999999999999</v>
      </c>
      <c r="O399" s="42" t="s">
        <v>103</v>
      </c>
      <c r="P399" s="42">
        <v>0</v>
      </c>
      <c r="Q399" s="45">
        <f t="shared" si="12"/>
        <v>1.7171337763652124</v>
      </c>
      <c r="R399" s="46">
        <f t="shared" si="13"/>
        <v>0</v>
      </c>
    </row>
    <row r="400" spans="1:18" x14ac:dyDescent="0.2">
      <c r="A400" s="36" t="s">
        <v>1196</v>
      </c>
      <c r="B400" s="36" t="s">
        <v>280</v>
      </c>
      <c r="C400" s="36" t="s">
        <v>281</v>
      </c>
      <c r="D400" s="40">
        <v>45746</v>
      </c>
      <c r="E400" s="36" t="s">
        <v>1197</v>
      </c>
      <c r="F400" s="36" t="s">
        <v>33</v>
      </c>
      <c r="G400" s="36" t="s">
        <v>100</v>
      </c>
      <c r="H400" s="36" t="s">
        <v>34</v>
      </c>
      <c r="I400" s="36" t="s">
        <v>34</v>
      </c>
      <c r="J400" s="36" t="s">
        <v>188</v>
      </c>
      <c r="K400" s="36" t="s">
        <v>102</v>
      </c>
      <c r="L400" s="37">
        <v>418.14</v>
      </c>
      <c r="M400" s="37">
        <v>769.94</v>
      </c>
      <c r="N400" s="37">
        <v>351.8</v>
      </c>
      <c r="O400" s="36" t="s">
        <v>103</v>
      </c>
      <c r="P400" s="36">
        <v>0</v>
      </c>
      <c r="Q400" s="41">
        <f t="shared" si="12"/>
        <v>1.8413450040656241</v>
      </c>
      <c r="R400" s="38">
        <f t="shared" si="13"/>
        <v>0</v>
      </c>
    </row>
    <row r="401" spans="1:18" x14ac:dyDescent="0.2">
      <c r="A401" s="42" t="s">
        <v>1198</v>
      </c>
      <c r="B401" s="42" t="s">
        <v>1199</v>
      </c>
      <c r="C401" s="42" t="s">
        <v>1200</v>
      </c>
      <c r="D401" s="43">
        <v>45683</v>
      </c>
      <c r="E401" s="42" t="s">
        <v>1201</v>
      </c>
      <c r="F401" s="42" t="s">
        <v>29</v>
      </c>
      <c r="G401" s="42" t="s">
        <v>108</v>
      </c>
      <c r="H401" s="42" t="s">
        <v>34</v>
      </c>
      <c r="I401" s="42" t="s">
        <v>34</v>
      </c>
      <c r="J401" s="42" t="s">
        <v>121</v>
      </c>
      <c r="K401" s="42" t="s">
        <v>103</v>
      </c>
      <c r="L401" s="44">
        <v>107.56</v>
      </c>
      <c r="M401" s="44">
        <v>87.16</v>
      </c>
      <c r="N401" s="44">
        <v>-20.399999999999999</v>
      </c>
      <c r="O401" s="42" t="s">
        <v>103</v>
      </c>
      <c r="P401" s="42">
        <v>0</v>
      </c>
      <c r="Q401" s="45">
        <f t="shared" si="12"/>
        <v>0.81033841576794341</v>
      </c>
      <c r="R401" s="46">
        <f t="shared" si="13"/>
        <v>20</v>
      </c>
    </row>
    <row r="402" spans="1:18" x14ac:dyDescent="0.2">
      <c r="A402" s="36" t="s">
        <v>1202</v>
      </c>
      <c r="B402" s="36" t="s">
        <v>809</v>
      </c>
      <c r="C402" s="36" t="s">
        <v>810</v>
      </c>
      <c r="D402" s="40">
        <v>45983</v>
      </c>
      <c r="E402" s="36" t="s">
        <v>644</v>
      </c>
      <c r="F402" s="36" t="s">
        <v>31</v>
      </c>
      <c r="G402" s="36" t="s">
        <v>114</v>
      </c>
      <c r="H402" s="36" t="s">
        <v>34</v>
      </c>
      <c r="I402" s="36" t="s">
        <v>34</v>
      </c>
      <c r="J402" s="36" t="s">
        <v>188</v>
      </c>
      <c r="K402" s="36" t="s">
        <v>102</v>
      </c>
      <c r="L402" s="37">
        <v>24.98</v>
      </c>
      <c r="M402" s="37">
        <v>20.47</v>
      </c>
      <c r="N402" s="37">
        <v>-4.51</v>
      </c>
      <c r="O402" s="36" t="s">
        <v>103</v>
      </c>
      <c r="P402" s="36">
        <v>2</v>
      </c>
      <c r="Q402" s="41">
        <f t="shared" si="12"/>
        <v>0.8194555644515612</v>
      </c>
      <c r="R402" s="38">
        <f t="shared" si="13"/>
        <v>0</v>
      </c>
    </row>
    <row r="403" spans="1:18" x14ac:dyDescent="0.2">
      <c r="A403" s="42" t="s">
        <v>1203</v>
      </c>
      <c r="B403" s="42" t="s">
        <v>845</v>
      </c>
      <c r="C403" s="42" t="s">
        <v>846</v>
      </c>
      <c r="D403" s="43">
        <v>45900</v>
      </c>
      <c r="E403" s="42" t="s">
        <v>1204</v>
      </c>
      <c r="F403" s="42" t="s">
        <v>19</v>
      </c>
      <c r="G403" s="42" t="s">
        <v>126</v>
      </c>
      <c r="H403" s="42" t="s">
        <v>34</v>
      </c>
      <c r="I403" s="42" t="s">
        <v>34</v>
      </c>
      <c r="J403" s="42" t="s">
        <v>121</v>
      </c>
      <c r="K403" s="42" t="s">
        <v>103</v>
      </c>
      <c r="L403" s="44">
        <v>181.38</v>
      </c>
      <c r="M403" s="44">
        <v>65.25</v>
      </c>
      <c r="N403" s="44">
        <v>-116.13</v>
      </c>
      <c r="O403" s="42" t="s">
        <v>103</v>
      </c>
      <c r="P403" s="42">
        <v>3</v>
      </c>
      <c r="Q403" s="45">
        <f t="shared" si="12"/>
        <v>0.3597419781673834</v>
      </c>
      <c r="R403" s="46">
        <f t="shared" si="13"/>
        <v>30</v>
      </c>
    </row>
    <row r="404" spans="1:18" x14ac:dyDescent="0.2">
      <c r="A404" s="36" t="s">
        <v>1205</v>
      </c>
      <c r="B404" s="36" t="s">
        <v>555</v>
      </c>
      <c r="C404" s="36" t="s">
        <v>556</v>
      </c>
      <c r="D404" s="40">
        <v>45704</v>
      </c>
      <c r="E404" s="36" t="s">
        <v>1206</v>
      </c>
      <c r="F404" s="36" t="s">
        <v>31</v>
      </c>
      <c r="G404" s="36" t="s">
        <v>131</v>
      </c>
      <c r="H404" s="36" t="s">
        <v>34</v>
      </c>
      <c r="I404" s="36" t="s">
        <v>34</v>
      </c>
      <c r="J404" s="36" t="s">
        <v>121</v>
      </c>
      <c r="K404" s="36" t="s">
        <v>102</v>
      </c>
      <c r="L404" s="37">
        <v>199.42</v>
      </c>
      <c r="M404" s="37">
        <v>71.47</v>
      </c>
      <c r="N404" s="37">
        <v>-127.95</v>
      </c>
      <c r="O404" s="36" t="s">
        <v>103</v>
      </c>
      <c r="P404" s="36">
        <v>1</v>
      </c>
      <c r="Q404" s="41">
        <f t="shared" si="12"/>
        <v>0.35838932905425736</v>
      </c>
      <c r="R404" s="38">
        <f t="shared" si="13"/>
        <v>0</v>
      </c>
    </row>
    <row r="405" spans="1:18" x14ac:dyDescent="0.2">
      <c r="A405" s="42" t="s">
        <v>1207</v>
      </c>
      <c r="B405" s="42" t="s">
        <v>1208</v>
      </c>
      <c r="C405" s="42" t="s">
        <v>1209</v>
      </c>
      <c r="D405" s="43">
        <v>45989</v>
      </c>
      <c r="E405" s="42" t="s">
        <v>1210</v>
      </c>
      <c r="F405" s="42" t="s">
        <v>31</v>
      </c>
      <c r="G405" s="42" t="s">
        <v>100</v>
      </c>
      <c r="H405" s="42" t="s">
        <v>32</v>
      </c>
      <c r="I405" s="42" t="s">
        <v>32</v>
      </c>
      <c r="J405" s="42" t="s">
        <v>132</v>
      </c>
      <c r="K405" s="42" t="s">
        <v>102</v>
      </c>
      <c r="L405" s="44">
        <v>111.3</v>
      </c>
      <c r="M405" s="44">
        <v>159.55000000000001</v>
      </c>
      <c r="N405" s="44">
        <v>48.25</v>
      </c>
      <c r="O405" s="42" t="s">
        <v>103</v>
      </c>
      <c r="P405" s="42">
        <v>0</v>
      </c>
      <c r="Q405" s="45">
        <f t="shared" si="12"/>
        <v>1.4335130278526507</v>
      </c>
      <c r="R405" s="46">
        <f t="shared" si="13"/>
        <v>0</v>
      </c>
    </row>
    <row r="406" spans="1:18" x14ac:dyDescent="0.2">
      <c r="A406" s="36" t="s">
        <v>1211</v>
      </c>
      <c r="B406" s="36" t="s">
        <v>461</v>
      </c>
      <c r="C406" s="36" t="s">
        <v>462</v>
      </c>
      <c r="D406" s="40">
        <v>46050</v>
      </c>
      <c r="E406" s="36" t="s">
        <v>1212</v>
      </c>
      <c r="F406" s="36" t="s">
        <v>33</v>
      </c>
      <c r="G406" s="36" t="s">
        <v>108</v>
      </c>
      <c r="H406" s="36" t="s">
        <v>34</v>
      </c>
      <c r="I406" s="36" t="s">
        <v>34</v>
      </c>
      <c r="J406" s="36" t="s">
        <v>121</v>
      </c>
      <c r="K406" s="36" t="s">
        <v>102</v>
      </c>
      <c r="L406" s="37">
        <v>242.31</v>
      </c>
      <c r="M406" s="37">
        <v>70.53</v>
      </c>
      <c r="N406" s="37">
        <v>-171.78</v>
      </c>
      <c r="O406" s="36" t="s">
        <v>103</v>
      </c>
      <c r="P406" s="36">
        <v>0</v>
      </c>
      <c r="Q406" s="41">
        <f t="shared" si="12"/>
        <v>0.29107341834839667</v>
      </c>
      <c r="R406" s="38">
        <f t="shared" si="13"/>
        <v>0</v>
      </c>
    </row>
    <row r="407" spans="1:18" x14ac:dyDescent="0.2">
      <c r="A407" s="42" t="s">
        <v>1213</v>
      </c>
      <c r="B407" s="42" t="s">
        <v>659</v>
      </c>
      <c r="C407" s="42" t="s">
        <v>660</v>
      </c>
      <c r="D407" s="43">
        <v>45772</v>
      </c>
      <c r="E407" s="42" t="s">
        <v>1214</v>
      </c>
      <c r="F407" s="42" t="s">
        <v>27</v>
      </c>
      <c r="G407" s="42" t="s">
        <v>126</v>
      </c>
      <c r="H407" s="42" t="s">
        <v>34</v>
      </c>
      <c r="I407" s="42" t="s">
        <v>34</v>
      </c>
      <c r="J407" s="42" t="s">
        <v>121</v>
      </c>
      <c r="K407" s="42" t="s">
        <v>102</v>
      </c>
      <c r="L407" s="44">
        <v>404.49</v>
      </c>
      <c r="M407" s="44">
        <v>271.82</v>
      </c>
      <c r="N407" s="44">
        <v>-132.66999999999999</v>
      </c>
      <c r="O407" s="42" t="s">
        <v>103</v>
      </c>
      <c r="P407" s="42">
        <v>0</v>
      </c>
      <c r="Q407" s="45">
        <f t="shared" si="12"/>
        <v>0.67200672451729337</v>
      </c>
      <c r="R407" s="46">
        <f t="shared" si="13"/>
        <v>10</v>
      </c>
    </row>
    <row r="408" spans="1:18" x14ac:dyDescent="0.2">
      <c r="A408" s="36" t="s">
        <v>1215</v>
      </c>
      <c r="B408" s="36" t="s">
        <v>208</v>
      </c>
      <c r="C408" s="36" t="s">
        <v>209</v>
      </c>
      <c r="D408" s="40">
        <v>45874</v>
      </c>
      <c r="E408" s="36" t="s">
        <v>160</v>
      </c>
      <c r="F408" s="36" t="s">
        <v>29</v>
      </c>
      <c r="G408" s="36" t="s">
        <v>120</v>
      </c>
      <c r="H408" s="36" t="s">
        <v>30</v>
      </c>
      <c r="I408" s="36" t="s">
        <v>30</v>
      </c>
      <c r="J408" s="36" t="s">
        <v>143</v>
      </c>
      <c r="K408" s="36" t="s">
        <v>102</v>
      </c>
      <c r="L408" s="37">
        <v>180.87</v>
      </c>
      <c r="M408" s="37">
        <v>100.27</v>
      </c>
      <c r="N408" s="37">
        <v>-80.599999999999994</v>
      </c>
      <c r="O408" s="36" t="s">
        <v>103</v>
      </c>
      <c r="P408" s="36">
        <v>0</v>
      </c>
      <c r="Q408" s="41">
        <f t="shared" si="12"/>
        <v>0.55437607121136723</v>
      </c>
      <c r="R408" s="38">
        <f t="shared" si="13"/>
        <v>0</v>
      </c>
    </row>
    <row r="409" spans="1:18" x14ac:dyDescent="0.2">
      <c r="A409" s="42" t="s">
        <v>1216</v>
      </c>
      <c r="B409" s="42" t="s">
        <v>364</v>
      </c>
      <c r="C409" s="42" t="s">
        <v>365</v>
      </c>
      <c r="D409" s="43">
        <v>45924</v>
      </c>
      <c r="E409" s="42" t="s">
        <v>1217</v>
      </c>
      <c r="F409" s="42" t="s">
        <v>27</v>
      </c>
      <c r="G409" s="42" t="s">
        <v>120</v>
      </c>
      <c r="H409" s="42" t="s">
        <v>34</v>
      </c>
      <c r="I409" s="42" t="s">
        <v>34</v>
      </c>
      <c r="J409" s="42" t="s">
        <v>188</v>
      </c>
      <c r="K409" s="42" t="s">
        <v>102</v>
      </c>
      <c r="L409" s="44">
        <v>296.39999999999998</v>
      </c>
      <c r="M409" s="44">
        <v>4.79</v>
      </c>
      <c r="N409" s="44">
        <v>-291.61</v>
      </c>
      <c r="O409" s="42" t="s">
        <v>103</v>
      </c>
      <c r="P409" s="42">
        <v>1</v>
      </c>
      <c r="Q409" s="45">
        <f t="shared" si="12"/>
        <v>1.6160593792172741E-2</v>
      </c>
      <c r="R409" s="46">
        <f t="shared" si="13"/>
        <v>0</v>
      </c>
    </row>
    <row r="410" spans="1:18" x14ac:dyDescent="0.2">
      <c r="A410" s="36" t="s">
        <v>1218</v>
      </c>
      <c r="B410" s="36" t="s">
        <v>168</v>
      </c>
      <c r="C410" s="36" t="s">
        <v>169</v>
      </c>
      <c r="D410" s="40">
        <v>45989</v>
      </c>
      <c r="E410" s="36" t="s">
        <v>348</v>
      </c>
      <c r="F410" s="36" t="s">
        <v>29</v>
      </c>
      <c r="G410" s="36" t="s">
        <v>100</v>
      </c>
      <c r="H410" s="36" t="s">
        <v>34</v>
      </c>
      <c r="I410" s="36" t="s">
        <v>34</v>
      </c>
      <c r="J410" s="36" t="s">
        <v>121</v>
      </c>
      <c r="K410" s="36" t="s">
        <v>102</v>
      </c>
      <c r="L410" s="37">
        <v>148.51</v>
      </c>
      <c r="M410" s="37">
        <v>223.61</v>
      </c>
      <c r="N410" s="37">
        <v>75.099999999999994</v>
      </c>
      <c r="O410" s="36" t="s">
        <v>103</v>
      </c>
      <c r="P410" s="36">
        <v>3</v>
      </c>
      <c r="Q410" s="41">
        <f t="shared" si="12"/>
        <v>1.5056898525351829</v>
      </c>
      <c r="R410" s="38">
        <f t="shared" si="13"/>
        <v>0</v>
      </c>
    </row>
    <row r="411" spans="1:18" x14ac:dyDescent="0.2">
      <c r="A411" s="42" t="s">
        <v>1219</v>
      </c>
      <c r="B411" s="42" t="s">
        <v>320</v>
      </c>
      <c r="C411" s="42" t="s">
        <v>321</v>
      </c>
      <c r="D411" s="43">
        <v>45799</v>
      </c>
      <c r="E411" s="42" t="s">
        <v>1220</v>
      </c>
      <c r="F411" s="42" t="s">
        <v>27</v>
      </c>
      <c r="G411" s="42" t="s">
        <v>126</v>
      </c>
      <c r="H411" s="42" t="s">
        <v>20</v>
      </c>
      <c r="I411" s="42" t="s">
        <v>20</v>
      </c>
      <c r="J411" s="42" t="s">
        <v>183</v>
      </c>
      <c r="K411" s="42" t="s">
        <v>102</v>
      </c>
      <c r="L411" s="44">
        <v>432.13</v>
      </c>
      <c r="M411" s="44">
        <v>248.27</v>
      </c>
      <c r="N411" s="44">
        <v>-183.86</v>
      </c>
      <c r="O411" s="42" t="s">
        <v>103</v>
      </c>
      <c r="P411" s="42">
        <v>0</v>
      </c>
      <c r="Q411" s="45">
        <f t="shared" si="12"/>
        <v>0.57452618425010993</v>
      </c>
      <c r="R411" s="46">
        <f t="shared" si="13"/>
        <v>10</v>
      </c>
    </row>
    <row r="412" spans="1:18" x14ac:dyDescent="0.2">
      <c r="A412" s="36" t="s">
        <v>1221</v>
      </c>
      <c r="B412" s="36" t="s">
        <v>111</v>
      </c>
      <c r="C412" s="36" t="s">
        <v>112</v>
      </c>
      <c r="D412" s="40">
        <v>45754</v>
      </c>
      <c r="E412" s="36" t="s">
        <v>1222</v>
      </c>
      <c r="F412" s="36" t="s">
        <v>22</v>
      </c>
      <c r="G412" s="36" t="s">
        <v>108</v>
      </c>
      <c r="H412" s="36" t="s">
        <v>34</v>
      </c>
      <c r="I412" s="36" t="s">
        <v>34</v>
      </c>
      <c r="J412" s="36" t="s">
        <v>115</v>
      </c>
      <c r="K412" s="36" t="s">
        <v>102</v>
      </c>
      <c r="L412" s="37">
        <v>385.08</v>
      </c>
      <c r="M412" s="37">
        <v>762.19</v>
      </c>
      <c r="N412" s="37">
        <v>377.11</v>
      </c>
      <c r="O412" s="36" t="s">
        <v>103</v>
      </c>
      <c r="P412" s="36">
        <v>2</v>
      </c>
      <c r="Q412" s="41">
        <f t="shared" si="12"/>
        <v>1.9793030019736162</v>
      </c>
      <c r="R412" s="38">
        <f t="shared" si="13"/>
        <v>0</v>
      </c>
    </row>
    <row r="413" spans="1:18" x14ac:dyDescent="0.2">
      <c r="A413" s="42" t="s">
        <v>1223</v>
      </c>
      <c r="B413" s="42" t="s">
        <v>683</v>
      </c>
      <c r="C413" s="42" t="s">
        <v>684</v>
      </c>
      <c r="D413" s="43">
        <v>45996</v>
      </c>
      <c r="E413" s="42" t="s">
        <v>1224</v>
      </c>
      <c r="F413" s="42" t="s">
        <v>29</v>
      </c>
      <c r="G413" s="42" t="s">
        <v>120</v>
      </c>
      <c r="H413" s="42" t="s">
        <v>23</v>
      </c>
      <c r="I413" s="42" t="s">
        <v>23</v>
      </c>
      <c r="J413" s="42" t="s">
        <v>101</v>
      </c>
      <c r="K413" s="42" t="s">
        <v>102</v>
      </c>
      <c r="L413" s="44">
        <v>78.569999999999993</v>
      </c>
      <c r="M413" s="44">
        <v>4.4000000000000004</v>
      </c>
      <c r="N413" s="44">
        <v>-74.17</v>
      </c>
      <c r="O413" s="42" t="s">
        <v>103</v>
      </c>
      <c r="P413" s="42">
        <v>0</v>
      </c>
      <c r="Q413" s="45">
        <f t="shared" si="12"/>
        <v>5.6001018200330925E-2</v>
      </c>
      <c r="R413" s="46">
        <f t="shared" si="13"/>
        <v>0</v>
      </c>
    </row>
    <row r="414" spans="1:18" x14ac:dyDescent="0.2">
      <c r="A414" s="36" t="s">
        <v>1225</v>
      </c>
      <c r="B414" s="36" t="s">
        <v>40</v>
      </c>
      <c r="C414" s="36" t="s">
        <v>41</v>
      </c>
      <c r="D414" s="40">
        <v>45872</v>
      </c>
      <c r="E414" s="36" t="s">
        <v>1226</v>
      </c>
      <c r="F414" s="36" t="s">
        <v>27</v>
      </c>
      <c r="G414" s="36" t="s">
        <v>108</v>
      </c>
      <c r="H414" s="36" t="s">
        <v>34</v>
      </c>
      <c r="I414" s="36" t="s">
        <v>20</v>
      </c>
      <c r="J414" s="36" t="s">
        <v>143</v>
      </c>
      <c r="K414" s="36" t="s">
        <v>103</v>
      </c>
      <c r="L414" s="37">
        <v>3691.45</v>
      </c>
      <c r="M414" s="37">
        <v>13754.7</v>
      </c>
      <c r="N414" s="37">
        <v>10063.25</v>
      </c>
      <c r="O414" s="36" t="s">
        <v>318</v>
      </c>
      <c r="P414" s="36">
        <v>1</v>
      </c>
      <c r="Q414" s="41">
        <f t="shared" si="12"/>
        <v>3.7260967912337972</v>
      </c>
      <c r="R414" s="38">
        <f t="shared" si="13"/>
        <v>90</v>
      </c>
    </row>
    <row r="415" spans="1:18" x14ac:dyDescent="0.2">
      <c r="A415" s="42" t="s">
        <v>1227</v>
      </c>
      <c r="B415" s="42" t="s">
        <v>491</v>
      </c>
      <c r="C415" s="42" t="s">
        <v>492</v>
      </c>
      <c r="D415" s="43">
        <v>46059</v>
      </c>
      <c r="E415" s="42" t="s">
        <v>1228</v>
      </c>
      <c r="F415" s="42" t="s">
        <v>19</v>
      </c>
      <c r="G415" s="42" t="s">
        <v>131</v>
      </c>
      <c r="H415" s="42" t="s">
        <v>34</v>
      </c>
      <c r="I415" s="42" t="s">
        <v>34</v>
      </c>
      <c r="J415" s="42" t="s">
        <v>121</v>
      </c>
      <c r="K415" s="42" t="s">
        <v>102</v>
      </c>
      <c r="L415" s="44">
        <v>470.93</v>
      </c>
      <c r="M415" s="44">
        <v>371.42</v>
      </c>
      <c r="N415" s="44">
        <v>-99.51</v>
      </c>
      <c r="O415" s="42" t="s">
        <v>103</v>
      </c>
      <c r="P415" s="42">
        <v>1</v>
      </c>
      <c r="Q415" s="45">
        <f t="shared" si="12"/>
        <v>0.78869471046652373</v>
      </c>
      <c r="R415" s="46">
        <f t="shared" si="13"/>
        <v>0</v>
      </c>
    </row>
    <row r="416" spans="1:18" x14ac:dyDescent="0.2">
      <c r="A416" s="36" t="s">
        <v>1229</v>
      </c>
      <c r="B416" s="36" t="s">
        <v>1011</v>
      </c>
      <c r="C416" s="36" t="s">
        <v>1012</v>
      </c>
      <c r="D416" s="40">
        <v>45943</v>
      </c>
      <c r="E416" s="36" t="s">
        <v>1230</v>
      </c>
      <c r="F416" s="36" t="s">
        <v>19</v>
      </c>
      <c r="G416" s="36" t="s">
        <v>126</v>
      </c>
      <c r="H416" s="36" t="s">
        <v>34</v>
      </c>
      <c r="I416" s="36" t="s">
        <v>34</v>
      </c>
      <c r="J416" s="36" t="s">
        <v>121</v>
      </c>
      <c r="K416" s="36" t="s">
        <v>102</v>
      </c>
      <c r="L416" s="37">
        <v>57.83</v>
      </c>
      <c r="M416" s="37">
        <v>16.28</v>
      </c>
      <c r="N416" s="37">
        <v>-41.55</v>
      </c>
      <c r="O416" s="36" t="s">
        <v>103</v>
      </c>
      <c r="P416" s="36">
        <v>1</v>
      </c>
      <c r="Q416" s="41">
        <f t="shared" si="12"/>
        <v>0.28151478471381641</v>
      </c>
      <c r="R416" s="38">
        <f t="shared" si="13"/>
        <v>10</v>
      </c>
    </row>
    <row r="417" spans="1:18" x14ac:dyDescent="0.2">
      <c r="A417" s="42" t="s">
        <v>1231</v>
      </c>
      <c r="B417" s="42" t="s">
        <v>168</v>
      </c>
      <c r="C417" s="42" t="s">
        <v>169</v>
      </c>
      <c r="D417" s="43">
        <v>46048</v>
      </c>
      <c r="E417" s="42" t="s">
        <v>852</v>
      </c>
      <c r="F417" s="42" t="s">
        <v>33</v>
      </c>
      <c r="G417" s="42" t="s">
        <v>120</v>
      </c>
      <c r="H417" s="42" t="s">
        <v>34</v>
      </c>
      <c r="I417" s="42" t="s">
        <v>34</v>
      </c>
      <c r="J417" s="42" t="s">
        <v>121</v>
      </c>
      <c r="K417" s="42" t="s">
        <v>102</v>
      </c>
      <c r="L417" s="44">
        <v>450.8</v>
      </c>
      <c r="M417" s="44">
        <v>649.04</v>
      </c>
      <c r="N417" s="44">
        <v>198.24</v>
      </c>
      <c r="O417" s="42" t="s">
        <v>103</v>
      </c>
      <c r="P417" s="42">
        <v>3</v>
      </c>
      <c r="Q417" s="45">
        <f t="shared" si="12"/>
        <v>1.4397515527950309</v>
      </c>
      <c r="R417" s="46">
        <f t="shared" si="13"/>
        <v>0</v>
      </c>
    </row>
    <row r="418" spans="1:18" x14ac:dyDescent="0.2">
      <c r="A418" s="36" t="s">
        <v>1232</v>
      </c>
      <c r="B418" s="36" t="s">
        <v>521</v>
      </c>
      <c r="C418" s="36" t="s">
        <v>522</v>
      </c>
      <c r="D418" s="40">
        <v>46039</v>
      </c>
      <c r="E418" s="36" t="s">
        <v>1233</v>
      </c>
      <c r="F418" s="36" t="s">
        <v>19</v>
      </c>
      <c r="G418" s="36" t="s">
        <v>108</v>
      </c>
      <c r="H418" s="36" t="s">
        <v>34</v>
      </c>
      <c r="I418" s="36" t="s">
        <v>34</v>
      </c>
      <c r="J418" s="36" t="s">
        <v>152</v>
      </c>
      <c r="K418" s="36" t="s">
        <v>103</v>
      </c>
      <c r="L418" s="37">
        <v>396.16</v>
      </c>
      <c r="M418" s="37">
        <v>288.76</v>
      </c>
      <c r="N418" s="37">
        <v>-107.4</v>
      </c>
      <c r="O418" s="36" t="s">
        <v>103</v>
      </c>
      <c r="P418" s="36">
        <v>2</v>
      </c>
      <c r="Q418" s="41">
        <f t="shared" si="12"/>
        <v>0.72889741518578344</v>
      </c>
      <c r="R418" s="38">
        <f t="shared" si="13"/>
        <v>20</v>
      </c>
    </row>
    <row r="419" spans="1:18" x14ac:dyDescent="0.2">
      <c r="A419" s="42" t="s">
        <v>1234</v>
      </c>
      <c r="B419" s="42" t="s">
        <v>1137</v>
      </c>
      <c r="C419" s="42" t="s">
        <v>1138</v>
      </c>
      <c r="D419" s="43">
        <v>45895</v>
      </c>
      <c r="E419" s="42" t="s">
        <v>1235</v>
      </c>
      <c r="F419" s="42" t="s">
        <v>31</v>
      </c>
      <c r="G419" s="42" t="s">
        <v>108</v>
      </c>
      <c r="H419" s="42" t="s">
        <v>34</v>
      </c>
      <c r="I419" s="42" t="s">
        <v>34</v>
      </c>
      <c r="J419" s="42" t="s">
        <v>121</v>
      </c>
      <c r="K419" s="42" t="s">
        <v>102</v>
      </c>
      <c r="L419" s="44">
        <v>36.299999999999997</v>
      </c>
      <c r="M419" s="44">
        <v>50.66</v>
      </c>
      <c r="N419" s="44">
        <v>14.36</v>
      </c>
      <c r="O419" s="42" t="s">
        <v>103</v>
      </c>
      <c r="P419" s="42">
        <v>0</v>
      </c>
      <c r="Q419" s="45">
        <f t="shared" si="12"/>
        <v>1.3955922865013775</v>
      </c>
      <c r="R419" s="46">
        <f t="shared" si="13"/>
        <v>0</v>
      </c>
    </row>
    <row r="420" spans="1:18" x14ac:dyDescent="0.2">
      <c r="A420" s="36" t="s">
        <v>1236</v>
      </c>
      <c r="B420" s="36" t="s">
        <v>307</v>
      </c>
      <c r="C420" s="36" t="s">
        <v>308</v>
      </c>
      <c r="D420" s="40">
        <v>45899</v>
      </c>
      <c r="E420" s="36" t="s">
        <v>1237</v>
      </c>
      <c r="F420" s="36" t="s">
        <v>31</v>
      </c>
      <c r="G420" s="36" t="s">
        <v>120</v>
      </c>
      <c r="H420" s="36" t="s">
        <v>26</v>
      </c>
      <c r="I420" s="36" t="s">
        <v>26</v>
      </c>
      <c r="J420" s="36" t="s">
        <v>303</v>
      </c>
      <c r="K420" s="36" t="s">
        <v>102</v>
      </c>
      <c r="L420" s="37">
        <v>68.709999999999994</v>
      </c>
      <c r="M420" s="37">
        <v>102.9</v>
      </c>
      <c r="N420" s="37">
        <v>34.19</v>
      </c>
      <c r="O420" s="36" t="s">
        <v>103</v>
      </c>
      <c r="P420" s="36">
        <v>0</v>
      </c>
      <c r="Q420" s="41">
        <f t="shared" si="12"/>
        <v>1.4975986028234611</v>
      </c>
      <c r="R420" s="38">
        <f t="shared" si="13"/>
        <v>0</v>
      </c>
    </row>
    <row r="421" spans="1:18" x14ac:dyDescent="0.2">
      <c r="A421" s="42" t="s">
        <v>1238</v>
      </c>
      <c r="B421" s="42" t="s">
        <v>1053</v>
      </c>
      <c r="C421" s="42" t="s">
        <v>1054</v>
      </c>
      <c r="D421" s="43">
        <v>45685</v>
      </c>
      <c r="E421" s="42" t="s">
        <v>1239</v>
      </c>
      <c r="F421" s="42" t="s">
        <v>31</v>
      </c>
      <c r="G421" s="42" t="s">
        <v>114</v>
      </c>
      <c r="H421" s="42" t="s">
        <v>30</v>
      </c>
      <c r="I421" s="42" t="s">
        <v>30</v>
      </c>
      <c r="J421" s="42" t="s">
        <v>143</v>
      </c>
      <c r="K421" s="42" t="s">
        <v>102</v>
      </c>
      <c r="L421" s="44">
        <v>496.25</v>
      </c>
      <c r="M421" s="44">
        <v>374.11</v>
      </c>
      <c r="N421" s="44">
        <v>-122.14</v>
      </c>
      <c r="O421" s="42" t="s">
        <v>103</v>
      </c>
      <c r="P421" s="42">
        <v>0</v>
      </c>
      <c r="Q421" s="45">
        <f t="shared" si="12"/>
        <v>0.75387405541561714</v>
      </c>
      <c r="R421" s="46">
        <f t="shared" si="13"/>
        <v>0</v>
      </c>
    </row>
    <row r="422" spans="1:18" x14ac:dyDescent="0.2">
      <c r="A422" s="36" t="s">
        <v>1240</v>
      </c>
      <c r="B422" s="36" t="s">
        <v>559</v>
      </c>
      <c r="C422" s="36" t="s">
        <v>560</v>
      </c>
      <c r="D422" s="40">
        <v>45819</v>
      </c>
      <c r="E422" s="36" t="s">
        <v>1241</v>
      </c>
      <c r="F422" s="36" t="s">
        <v>27</v>
      </c>
      <c r="G422" s="36" t="s">
        <v>131</v>
      </c>
      <c r="H422" s="36" t="s">
        <v>34</v>
      </c>
      <c r="I422" s="36" t="s">
        <v>34</v>
      </c>
      <c r="J422" s="36" t="s">
        <v>152</v>
      </c>
      <c r="K422" s="36" t="s">
        <v>102</v>
      </c>
      <c r="L422" s="37">
        <v>391.68</v>
      </c>
      <c r="M422" s="37">
        <v>420.15</v>
      </c>
      <c r="N422" s="37">
        <v>28.47</v>
      </c>
      <c r="O422" s="36" t="s">
        <v>103</v>
      </c>
      <c r="P422" s="36">
        <v>0</v>
      </c>
      <c r="Q422" s="41">
        <f t="shared" si="12"/>
        <v>1.0726868872549018</v>
      </c>
      <c r="R422" s="38">
        <f t="shared" si="13"/>
        <v>0</v>
      </c>
    </row>
    <row r="423" spans="1:18" x14ac:dyDescent="0.2">
      <c r="A423" s="42" t="s">
        <v>1242</v>
      </c>
      <c r="B423" s="42" t="s">
        <v>468</v>
      </c>
      <c r="C423" s="42" t="s">
        <v>469</v>
      </c>
      <c r="D423" s="43">
        <v>45982</v>
      </c>
      <c r="E423" s="42" t="s">
        <v>1243</v>
      </c>
      <c r="F423" s="42" t="s">
        <v>22</v>
      </c>
      <c r="G423" s="42" t="s">
        <v>131</v>
      </c>
      <c r="H423" s="42" t="s">
        <v>28</v>
      </c>
      <c r="I423" s="42" t="s">
        <v>28</v>
      </c>
      <c r="J423" s="42" t="s">
        <v>109</v>
      </c>
      <c r="K423" s="42" t="s">
        <v>103</v>
      </c>
      <c r="L423" s="44">
        <v>231.51</v>
      </c>
      <c r="M423" s="44">
        <v>106.64</v>
      </c>
      <c r="N423" s="44">
        <v>-124.87</v>
      </c>
      <c r="O423" s="42" t="s">
        <v>103</v>
      </c>
      <c r="P423" s="42">
        <v>0</v>
      </c>
      <c r="Q423" s="45">
        <f t="shared" si="12"/>
        <v>0.46062805062416312</v>
      </c>
      <c r="R423" s="46">
        <f t="shared" si="13"/>
        <v>20</v>
      </c>
    </row>
    <row r="424" spans="1:18" x14ac:dyDescent="0.2">
      <c r="A424" s="36" t="s">
        <v>1244</v>
      </c>
      <c r="B424" s="36" t="s">
        <v>311</v>
      </c>
      <c r="C424" s="36" t="s">
        <v>312</v>
      </c>
      <c r="D424" s="40">
        <v>46049</v>
      </c>
      <c r="E424" s="36" t="s">
        <v>475</v>
      </c>
      <c r="F424" s="36" t="s">
        <v>33</v>
      </c>
      <c r="G424" s="36" t="s">
        <v>108</v>
      </c>
      <c r="H424" s="36" t="s">
        <v>30</v>
      </c>
      <c r="I424" s="36" t="s">
        <v>30</v>
      </c>
      <c r="J424" s="36" t="s">
        <v>143</v>
      </c>
      <c r="K424" s="36" t="s">
        <v>102</v>
      </c>
      <c r="L424" s="37">
        <v>394.75</v>
      </c>
      <c r="M424" s="37">
        <v>677.18</v>
      </c>
      <c r="N424" s="37">
        <v>282.43</v>
      </c>
      <c r="O424" s="36" t="s">
        <v>103</v>
      </c>
      <c r="P424" s="36">
        <v>0</v>
      </c>
      <c r="Q424" s="41">
        <f t="shared" si="12"/>
        <v>1.7154654844838504</v>
      </c>
      <c r="R424" s="38">
        <f t="shared" si="13"/>
        <v>0</v>
      </c>
    </row>
    <row r="425" spans="1:18" x14ac:dyDescent="0.2">
      <c r="A425" s="42" t="s">
        <v>1245</v>
      </c>
      <c r="B425" s="42" t="s">
        <v>1246</v>
      </c>
      <c r="C425" s="42" t="s">
        <v>1247</v>
      </c>
      <c r="D425" s="43">
        <v>45982</v>
      </c>
      <c r="E425" s="42" t="s">
        <v>1248</v>
      </c>
      <c r="F425" s="42" t="s">
        <v>25</v>
      </c>
      <c r="G425" s="42" t="s">
        <v>100</v>
      </c>
      <c r="H425" s="42" t="s">
        <v>34</v>
      </c>
      <c r="I425" s="42" t="s">
        <v>34</v>
      </c>
      <c r="J425" s="42" t="s">
        <v>152</v>
      </c>
      <c r="K425" s="42" t="s">
        <v>102</v>
      </c>
      <c r="L425" s="44">
        <v>220.22</v>
      </c>
      <c r="M425" s="44">
        <v>231.29</v>
      </c>
      <c r="N425" s="44">
        <v>11.07</v>
      </c>
      <c r="O425" s="42" t="s">
        <v>103</v>
      </c>
      <c r="P425" s="42">
        <v>0</v>
      </c>
      <c r="Q425" s="45">
        <f t="shared" si="12"/>
        <v>1.0502679139042774</v>
      </c>
      <c r="R425" s="46">
        <f t="shared" si="13"/>
        <v>0</v>
      </c>
    </row>
    <row r="426" spans="1:18" x14ac:dyDescent="0.2">
      <c r="A426" s="36" t="s">
        <v>1249</v>
      </c>
      <c r="B426" s="36" t="s">
        <v>861</v>
      </c>
      <c r="C426" s="36" t="s">
        <v>862</v>
      </c>
      <c r="D426" s="40">
        <v>45760</v>
      </c>
      <c r="E426" s="36" t="s">
        <v>1250</v>
      </c>
      <c r="F426" s="36" t="s">
        <v>22</v>
      </c>
      <c r="G426" s="36" t="s">
        <v>108</v>
      </c>
      <c r="H426" s="36" t="s">
        <v>34</v>
      </c>
      <c r="I426" s="36" t="s">
        <v>34</v>
      </c>
      <c r="J426" s="36" t="s">
        <v>121</v>
      </c>
      <c r="K426" s="36" t="s">
        <v>102</v>
      </c>
      <c r="L426" s="37">
        <v>475.53</v>
      </c>
      <c r="M426" s="37">
        <v>933.19</v>
      </c>
      <c r="N426" s="37">
        <v>457.66</v>
      </c>
      <c r="O426" s="36" t="s">
        <v>103</v>
      </c>
      <c r="P426" s="36">
        <v>0</v>
      </c>
      <c r="Q426" s="41">
        <f t="shared" si="12"/>
        <v>1.9624208777574499</v>
      </c>
      <c r="R426" s="38">
        <f t="shared" si="13"/>
        <v>0</v>
      </c>
    </row>
    <row r="427" spans="1:18" x14ac:dyDescent="0.2">
      <c r="A427" s="42" t="s">
        <v>1251</v>
      </c>
      <c r="B427" s="42" t="s">
        <v>1252</v>
      </c>
      <c r="C427" s="42" t="s">
        <v>1253</v>
      </c>
      <c r="D427" s="43">
        <v>45667</v>
      </c>
      <c r="E427" s="42" t="s">
        <v>1212</v>
      </c>
      <c r="F427" s="42" t="s">
        <v>27</v>
      </c>
      <c r="G427" s="42" t="s">
        <v>120</v>
      </c>
      <c r="H427" s="42" t="s">
        <v>34</v>
      </c>
      <c r="I427" s="42" t="s">
        <v>34</v>
      </c>
      <c r="J427" s="42" t="s">
        <v>121</v>
      </c>
      <c r="K427" s="42" t="s">
        <v>102</v>
      </c>
      <c r="L427" s="44">
        <v>317.08</v>
      </c>
      <c r="M427" s="44">
        <v>173.57</v>
      </c>
      <c r="N427" s="44">
        <v>-143.51</v>
      </c>
      <c r="O427" s="42" t="s">
        <v>103</v>
      </c>
      <c r="P427" s="42">
        <v>3</v>
      </c>
      <c r="Q427" s="45">
        <f t="shared" si="12"/>
        <v>0.54740128674151634</v>
      </c>
      <c r="R427" s="46">
        <f t="shared" si="13"/>
        <v>0</v>
      </c>
    </row>
    <row r="428" spans="1:18" x14ac:dyDescent="0.2">
      <c r="A428" s="36" t="s">
        <v>1254</v>
      </c>
      <c r="B428" s="36" t="s">
        <v>1255</v>
      </c>
      <c r="C428" s="36" t="s">
        <v>1256</v>
      </c>
      <c r="D428" s="40">
        <v>45724</v>
      </c>
      <c r="E428" s="36" t="s">
        <v>1257</v>
      </c>
      <c r="F428" s="36" t="s">
        <v>25</v>
      </c>
      <c r="G428" s="36" t="s">
        <v>100</v>
      </c>
      <c r="H428" s="36" t="s">
        <v>32</v>
      </c>
      <c r="I428" s="36" t="s">
        <v>32</v>
      </c>
      <c r="J428" s="36" t="s">
        <v>132</v>
      </c>
      <c r="K428" s="36" t="s">
        <v>103</v>
      </c>
      <c r="L428" s="37">
        <v>256.63</v>
      </c>
      <c r="M428" s="37">
        <v>172.83</v>
      </c>
      <c r="N428" s="37">
        <v>-83.8</v>
      </c>
      <c r="O428" s="36" t="s">
        <v>103</v>
      </c>
      <c r="P428" s="36">
        <v>0</v>
      </c>
      <c r="Q428" s="41">
        <f t="shared" si="12"/>
        <v>0.67345984491290967</v>
      </c>
      <c r="R428" s="38">
        <f t="shared" si="13"/>
        <v>20</v>
      </c>
    </row>
    <row r="429" spans="1:18" x14ac:dyDescent="0.2">
      <c r="A429" s="42" t="s">
        <v>1258</v>
      </c>
      <c r="B429" s="42" t="s">
        <v>111</v>
      </c>
      <c r="C429" s="42" t="s">
        <v>112</v>
      </c>
      <c r="D429" s="43">
        <v>45806</v>
      </c>
      <c r="E429" s="42" t="s">
        <v>1259</v>
      </c>
      <c r="F429" s="42" t="s">
        <v>29</v>
      </c>
      <c r="G429" s="42" t="s">
        <v>126</v>
      </c>
      <c r="H429" s="42" t="s">
        <v>34</v>
      </c>
      <c r="I429" s="42" t="s">
        <v>34</v>
      </c>
      <c r="J429" s="42" t="s">
        <v>115</v>
      </c>
      <c r="K429" s="42" t="s">
        <v>102</v>
      </c>
      <c r="L429" s="44">
        <v>264.94</v>
      </c>
      <c r="M429" s="44">
        <v>305.49</v>
      </c>
      <c r="N429" s="44">
        <v>40.549999999999997</v>
      </c>
      <c r="O429" s="42" t="s">
        <v>103</v>
      </c>
      <c r="P429" s="42">
        <v>2</v>
      </c>
      <c r="Q429" s="45">
        <f t="shared" si="12"/>
        <v>1.1530535215520497</v>
      </c>
      <c r="R429" s="46">
        <f t="shared" si="13"/>
        <v>10</v>
      </c>
    </row>
    <row r="430" spans="1:18" x14ac:dyDescent="0.2">
      <c r="A430" s="36" t="s">
        <v>1260</v>
      </c>
      <c r="B430" s="36" t="s">
        <v>947</v>
      </c>
      <c r="C430" s="36" t="s">
        <v>948</v>
      </c>
      <c r="D430" s="40">
        <v>45833</v>
      </c>
      <c r="E430" s="36" t="s">
        <v>1261</v>
      </c>
      <c r="F430" s="36" t="s">
        <v>22</v>
      </c>
      <c r="G430" s="36" t="s">
        <v>114</v>
      </c>
      <c r="H430" s="36" t="s">
        <v>32</v>
      </c>
      <c r="I430" s="36" t="s">
        <v>32</v>
      </c>
      <c r="J430" s="36" t="s">
        <v>132</v>
      </c>
      <c r="K430" s="36" t="s">
        <v>103</v>
      </c>
      <c r="L430" s="37">
        <v>377.56</v>
      </c>
      <c r="M430" s="37">
        <v>136.96</v>
      </c>
      <c r="N430" s="37">
        <v>-240.6</v>
      </c>
      <c r="O430" s="36" t="s">
        <v>103</v>
      </c>
      <c r="P430" s="36">
        <v>0</v>
      </c>
      <c r="Q430" s="41">
        <f t="shared" si="12"/>
        <v>0.3627502913444221</v>
      </c>
      <c r="R430" s="38">
        <f t="shared" si="13"/>
        <v>20</v>
      </c>
    </row>
    <row r="431" spans="1:18" x14ac:dyDescent="0.2">
      <c r="A431" s="42" t="s">
        <v>1262</v>
      </c>
      <c r="B431" s="42" t="s">
        <v>427</v>
      </c>
      <c r="C431" s="42" t="s">
        <v>428</v>
      </c>
      <c r="D431" s="43">
        <v>45774</v>
      </c>
      <c r="E431" s="42" t="s">
        <v>455</v>
      </c>
      <c r="F431" s="42" t="s">
        <v>25</v>
      </c>
      <c r="G431" s="42" t="s">
        <v>108</v>
      </c>
      <c r="H431" s="42" t="s">
        <v>34</v>
      </c>
      <c r="I431" s="42" t="s">
        <v>34</v>
      </c>
      <c r="J431" s="42" t="s">
        <v>121</v>
      </c>
      <c r="K431" s="42" t="s">
        <v>102</v>
      </c>
      <c r="L431" s="44">
        <v>492.59</v>
      </c>
      <c r="M431" s="44">
        <v>228.87</v>
      </c>
      <c r="N431" s="44">
        <v>-263.72000000000003</v>
      </c>
      <c r="O431" s="42" t="s">
        <v>103</v>
      </c>
      <c r="P431" s="42">
        <v>0</v>
      </c>
      <c r="Q431" s="45">
        <f t="shared" si="12"/>
        <v>0.46462575366938025</v>
      </c>
      <c r="R431" s="46">
        <f t="shared" si="13"/>
        <v>0</v>
      </c>
    </row>
    <row r="432" spans="1:18" x14ac:dyDescent="0.2">
      <c r="A432" s="36" t="s">
        <v>1263</v>
      </c>
      <c r="B432" s="36" t="s">
        <v>356</v>
      </c>
      <c r="C432" s="36" t="s">
        <v>357</v>
      </c>
      <c r="D432" s="40">
        <v>45744</v>
      </c>
      <c r="E432" s="36" t="s">
        <v>1264</v>
      </c>
      <c r="F432" s="36" t="s">
        <v>29</v>
      </c>
      <c r="G432" s="36" t="s">
        <v>126</v>
      </c>
      <c r="H432" s="36" t="s">
        <v>28</v>
      </c>
      <c r="I432" s="36" t="s">
        <v>28</v>
      </c>
      <c r="J432" s="36" t="s">
        <v>109</v>
      </c>
      <c r="K432" s="36" t="s">
        <v>102</v>
      </c>
      <c r="L432" s="37">
        <v>358.44</v>
      </c>
      <c r="M432" s="37">
        <v>624.65</v>
      </c>
      <c r="N432" s="37">
        <v>266.20999999999998</v>
      </c>
      <c r="O432" s="36" t="s">
        <v>103</v>
      </c>
      <c r="P432" s="36">
        <v>0</v>
      </c>
      <c r="Q432" s="41">
        <f t="shared" si="12"/>
        <v>1.7426905479299184</v>
      </c>
      <c r="R432" s="38">
        <f t="shared" si="13"/>
        <v>10</v>
      </c>
    </row>
    <row r="433" spans="1:18" x14ac:dyDescent="0.2">
      <c r="A433" s="42" t="s">
        <v>1265</v>
      </c>
      <c r="B433" s="42" t="s">
        <v>1266</v>
      </c>
      <c r="C433" s="42" t="s">
        <v>1267</v>
      </c>
      <c r="D433" s="43">
        <v>46052</v>
      </c>
      <c r="E433" s="42" t="s">
        <v>1268</v>
      </c>
      <c r="F433" s="42" t="s">
        <v>27</v>
      </c>
      <c r="G433" s="42" t="s">
        <v>100</v>
      </c>
      <c r="H433" s="42" t="s">
        <v>34</v>
      </c>
      <c r="I433" s="42" t="s">
        <v>34</v>
      </c>
      <c r="J433" s="42" t="s">
        <v>115</v>
      </c>
      <c r="K433" s="42" t="s">
        <v>102</v>
      </c>
      <c r="L433" s="44">
        <v>33.81</v>
      </c>
      <c r="M433" s="44">
        <v>73.989999999999995</v>
      </c>
      <c r="N433" s="44">
        <v>40.18</v>
      </c>
      <c r="O433" s="42" t="s">
        <v>103</v>
      </c>
      <c r="P433" s="42">
        <v>0</v>
      </c>
      <c r="Q433" s="45">
        <f t="shared" si="12"/>
        <v>2.1884057971014488</v>
      </c>
      <c r="R433" s="46">
        <f t="shared" si="13"/>
        <v>10</v>
      </c>
    </row>
    <row r="434" spans="1:18" x14ac:dyDescent="0.2">
      <c r="A434" s="36" t="s">
        <v>1269</v>
      </c>
      <c r="B434" s="36" t="s">
        <v>610</v>
      </c>
      <c r="C434" s="36" t="s">
        <v>611</v>
      </c>
      <c r="D434" s="40">
        <v>45668</v>
      </c>
      <c r="E434" s="36" t="s">
        <v>1270</v>
      </c>
      <c r="F434" s="36" t="s">
        <v>25</v>
      </c>
      <c r="G434" s="36" t="s">
        <v>108</v>
      </c>
      <c r="H434" s="36" t="s">
        <v>34</v>
      </c>
      <c r="I434" s="36" t="s">
        <v>34</v>
      </c>
      <c r="J434" s="36" t="s">
        <v>121</v>
      </c>
      <c r="K434" s="36" t="s">
        <v>102</v>
      </c>
      <c r="L434" s="37">
        <v>66.739999999999995</v>
      </c>
      <c r="M434" s="37">
        <v>65.239999999999995</v>
      </c>
      <c r="N434" s="37">
        <v>-1.5</v>
      </c>
      <c r="O434" s="36" t="s">
        <v>103</v>
      </c>
      <c r="P434" s="36">
        <v>0</v>
      </c>
      <c r="Q434" s="41">
        <f t="shared" si="12"/>
        <v>0.97752472280491465</v>
      </c>
      <c r="R434" s="38">
        <f t="shared" si="13"/>
        <v>0</v>
      </c>
    </row>
    <row r="435" spans="1:18" x14ac:dyDescent="0.2">
      <c r="A435" s="42" t="s">
        <v>1271</v>
      </c>
      <c r="B435" s="42" t="s">
        <v>1272</v>
      </c>
      <c r="C435" s="42" t="s">
        <v>1273</v>
      </c>
      <c r="D435" s="43">
        <v>45900</v>
      </c>
      <c r="E435" s="42" t="s">
        <v>1274</v>
      </c>
      <c r="F435" s="42" t="s">
        <v>25</v>
      </c>
      <c r="G435" s="42" t="s">
        <v>120</v>
      </c>
      <c r="H435" s="42" t="s">
        <v>34</v>
      </c>
      <c r="I435" s="42" t="s">
        <v>34</v>
      </c>
      <c r="J435" s="42" t="s">
        <v>121</v>
      </c>
      <c r="K435" s="42" t="s">
        <v>102</v>
      </c>
      <c r="L435" s="44">
        <v>110.69</v>
      </c>
      <c r="M435" s="44">
        <v>166.99</v>
      </c>
      <c r="N435" s="44">
        <v>56.3</v>
      </c>
      <c r="O435" s="42" t="s">
        <v>103</v>
      </c>
      <c r="P435" s="42">
        <v>2</v>
      </c>
      <c r="Q435" s="45">
        <f t="shared" si="12"/>
        <v>1.508627698979131</v>
      </c>
      <c r="R435" s="46">
        <f t="shared" si="13"/>
        <v>0</v>
      </c>
    </row>
    <row r="436" spans="1:18" x14ac:dyDescent="0.2">
      <c r="A436" s="36" t="s">
        <v>1275</v>
      </c>
      <c r="B436" s="36" t="s">
        <v>571</v>
      </c>
      <c r="C436" s="36" t="s">
        <v>572</v>
      </c>
      <c r="D436" s="40">
        <v>45996</v>
      </c>
      <c r="E436" s="36" t="s">
        <v>1276</v>
      </c>
      <c r="F436" s="36" t="s">
        <v>27</v>
      </c>
      <c r="G436" s="36" t="s">
        <v>131</v>
      </c>
      <c r="H436" s="36" t="s">
        <v>34</v>
      </c>
      <c r="I436" s="36" t="s">
        <v>34</v>
      </c>
      <c r="J436" s="36" t="s">
        <v>188</v>
      </c>
      <c r="K436" s="36" t="s">
        <v>103</v>
      </c>
      <c r="L436" s="37">
        <v>264.95</v>
      </c>
      <c r="M436" s="37">
        <v>363.02</v>
      </c>
      <c r="N436" s="37">
        <v>98.07</v>
      </c>
      <c r="O436" s="36" t="s">
        <v>103</v>
      </c>
      <c r="P436" s="36">
        <v>0</v>
      </c>
      <c r="Q436" s="41">
        <f t="shared" si="12"/>
        <v>1.3701453104359314</v>
      </c>
      <c r="R436" s="38">
        <f t="shared" si="13"/>
        <v>20</v>
      </c>
    </row>
    <row r="437" spans="1:18" x14ac:dyDescent="0.2">
      <c r="A437" s="42" t="s">
        <v>1277</v>
      </c>
      <c r="B437" s="42" t="s">
        <v>571</v>
      </c>
      <c r="C437" s="42" t="s">
        <v>572</v>
      </c>
      <c r="D437" s="43">
        <v>46083</v>
      </c>
      <c r="E437" s="42" t="s">
        <v>391</v>
      </c>
      <c r="F437" s="42" t="s">
        <v>25</v>
      </c>
      <c r="G437" s="42" t="s">
        <v>100</v>
      </c>
      <c r="H437" s="42" t="s">
        <v>34</v>
      </c>
      <c r="I437" s="42" t="s">
        <v>34</v>
      </c>
      <c r="J437" s="42" t="s">
        <v>188</v>
      </c>
      <c r="K437" s="42" t="s">
        <v>103</v>
      </c>
      <c r="L437" s="44">
        <v>362.2</v>
      </c>
      <c r="M437" s="44">
        <v>93.82</v>
      </c>
      <c r="N437" s="44">
        <v>-268.38</v>
      </c>
      <c r="O437" s="42" t="s">
        <v>103</v>
      </c>
      <c r="P437" s="42">
        <v>0</v>
      </c>
      <c r="Q437" s="45">
        <f t="shared" si="12"/>
        <v>0.25902816123688571</v>
      </c>
      <c r="R437" s="46">
        <f t="shared" si="13"/>
        <v>20</v>
      </c>
    </row>
    <row r="438" spans="1:18" x14ac:dyDescent="0.2">
      <c r="A438" s="36" t="s">
        <v>1278</v>
      </c>
      <c r="B438" s="36" t="s">
        <v>1015</v>
      </c>
      <c r="C438" s="36" t="s">
        <v>1016</v>
      </c>
      <c r="D438" s="40">
        <v>45759</v>
      </c>
      <c r="E438" s="36" t="s">
        <v>1279</v>
      </c>
      <c r="F438" s="36" t="s">
        <v>33</v>
      </c>
      <c r="G438" s="36" t="s">
        <v>120</v>
      </c>
      <c r="H438" s="36" t="s">
        <v>34</v>
      </c>
      <c r="I438" s="36" t="s">
        <v>34</v>
      </c>
      <c r="J438" s="36" t="s">
        <v>121</v>
      </c>
      <c r="K438" s="36" t="s">
        <v>102</v>
      </c>
      <c r="L438" s="37">
        <v>391.2</v>
      </c>
      <c r="M438" s="37">
        <v>715.62</v>
      </c>
      <c r="N438" s="37">
        <v>324.42</v>
      </c>
      <c r="O438" s="36" t="s">
        <v>103</v>
      </c>
      <c r="P438" s="36">
        <v>0</v>
      </c>
      <c r="Q438" s="41">
        <f t="shared" si="12"/>
        <v>1.8292944785276075</v>
      </c>
      <c r="R438" s="38">
        <f t="shared" si="13"/>
        <v>0</v>
      </c>
    </row>
    <row r="439" spans="1:18" x14ac:dyDescent="0.2">
      <c r="A439" s="42" t="s">
        <v>1280</v>
      </c>
      <c r="B439" s="42" t="s">
        <v>630</v>
      </c>
      <c r="C439" s="42" t="s">
        <v>631</v>
      </c>
      <c r="D439" s="43">
        <v>45867</v>
      </c>
      <c r="E439" s="42" t="s">
        <v>811</v>
      </c>
      <c r="F439" s="42" t="s">
        <v>33</v>
      </c>
      <c r="G439" s="42" t="s">
        <v>126</v>
      </c>
      <c r="H439" s="42" t="s">
        <v>34</v>
      </c>
      <c r="I439" s="42" t="s">
        <v>34</v>
      </c>
      <c r="J439" s="42" t="s">
        <v>121</v>
      </c>
      <c r="K439" s="42" t="s">
        <v>102</v>
      </c>
      <c r="L439" s="44">
        <v>29.31</v>
      </c>
      <c r="M439" s="44">
        <v>32.01</v>
      </c>
      <c r="N439" s="44">
        <v>2.7</v>
      </c>
      <c r="O439" s="42" t="s">
        <v>103</v>
      </c>
      <c r="P439" s="42">
        <v>0</v>
      </c>
      <c r="Q439" s="45">
        <f t="shared" si="12"/>
        <v>1.0921187308085978</v>
      </c>
      <c r="R439" s="46">
        <f t="shared" si="13"/>
        <v>10</v>
      </c>
    </row>
    <row r="440" spans="1:18" x14ac:dyDescent="0.2">
      <c r="A440" s="36" t="s">
        <v>1281</v>
      </c>
      <c r="B440" s="36" t="s">
        <v>117</v>
      </c>
      <c r="C440" s="36" t="s">
        <v>118</v>
      </c>
      <c r="D440" s="40">
        <v>45827</v>
      </c>
      <c r="E440" s="36" t="s">
        <v>1282</v>
      </c>
      <c r="F440" s="36" t="s">
        <v>25</v>
      </c>
      <c r="G440" s="36" t="s">
        <v>108</v>
      </c>
      <c r="H440" s="36" t="s">
        <v>34</v>
      </c>
      <c r="I440" s="36" t="s">
        <v>34</v>
      </c>
      <c r="J440" s="36" t="s">
        <v>121</v>
      </c>
      <c r="K440" s="36" t="s">
        <v>103</v>
      </c>
      <c r="L440" s="37">
        <v>16.25</v>
      </c>
      <c r="M440" s="37">
        <v>3.18</v>
      </c>
      <c r="N440" s="37">
        <v>-13.07</v>
      </c>
      <c r="O440" s="36" t="s">
        <v>103</v>
      </c>
      <c r="P440" s="36">
        <v>1</v>
      </c>
      <c r="Q440" s="41">
        <f t="shared" si="12"/>
        <v>0.19569230769230769</v>
      </c>
      <c r="R440" s="38">
        <f t="shared" si="13"/>
        <v>20</v>
      </c>
    </row>
    <row r="441" spans="1:18" x14ac:dyDescent="0.2">
      <c r="A441" s="42" t="s">
        <v>1283</v>
      </c>
      <c r="B441" s="42" t="s">
        <v>743</v>
      </c>
      <c r="C441" s="42" t="s">
        <v>744</v>
      </c>
      <c r="D441" s="43">
        <v>45910</v>
      </c>
      <c r="E441" s="42" t="s">
        <v>1284</v>
      </c>
      <c r="F441" s="42" t="s">
        <v>27</v>
      </c>
      <c r="G441" s="42" t="s">
        <v>100</v>
      </c>
      <c r="H441" s="42" t="s">
        <v>34</v>
      </c>
      <c r="I441" s="42" t="s">
        <v>34</v>
      </c>
      <c r="J441" s="42" t="s">
        <v>121</v>
      </c>
      <c r="K441" s="42" t="s">
        <v>103</v>
      </c>
      <c r="L441" s="44">
        <v>391.97</v>
      </c>
      <c r="M441" s="44">
        <v>64.72</v>
      </c>
      <c r="N441" s="44">
        <v>-327.25</v>
      </c>
      <c r="O441" s="42" t="s">
        <v>103</v>
      </c>
      <c r="P441" s="42">
        <v>2</v>
      </c>
      <c r="Q441" s="45">
        <f t="shared" si="12"/>
        <v>0.16511467714365893</v>
      </c>
      <c r="R441" s="46">
        <f t="shared" si="13"/>
        <v>20</v>
      </c>
    </row>
    <row r="442" spans="1:18" x14ac:dyDescent="0.2">
      <c r="A442" s="36" t="s">
        <v>1285</v>
      </c>
      <c r="B442" s="36" t="s">
        <v>1266</v>
      </c>
      <c r="C442" s="36" t="s">
        <v>1267</v>
      </c>
      <c r="D442" s="40">
        <v>45987</v>
      </c>
      <c r="E442" s="36" t="s">
        <v>99</v>
      </c>
      <c r="F442" s="36" t="s">
        <v>29</v>
      </c>
      <c r="G442" s="36" t="s">
        <v>100</v>
      </c>
      <c r="H442" s="36" t="s">
        <v>34</v>
      </c>
      <c r="I442" s="36" t="s">
        <v>34</v>
      </c>
      <c r="J442" s="36" t="s">
        <v>115</v>
      </c>
      <c r="K442" s="36" t="s">
        <v>102</v>
      </c>
      <c r="L442" s="37">
        <v>494.45</v>
      </c>
      <c r="M442" s="37">
        <v>322.01</v>
      </c>
      <c r="N442" s="37">
        <v>-172.44</v>
      </c>
      <c r="O442" s="36" t="s">
        <v>103</v>
      </c>
      <c r="P442" s="36">
        <v>0</v>
      </c>
      <c r="Q442" s="41">
        <f t="shared" si="12"/>
        <v>0.65124886237233293</v>
      </c>
      <c r="R442" s="38">
        <f t="shared" si="13"/>
        <v>0</v>
      </c>
    </row>
    <row r="443" spans="1:18" x14ac:dyDescent="0.2">
      <c r="A443" s="42" t="s">
        <v>1286</v>
      </c>
      <c r="B443" s="42" t="s">
        <v>185</v>
      </c>
      <c r="C443" s="42" t="s">
        <v>186</v>
      </c>
      <c r="D443" s="43">
        <v>46074</v>
      </c>
      <c r="E443" s="42" t="s">
        <v>1287</v>
      </c>
      <c r="F443" s="42" t="s">
        <v>22</v>
      </c>
      <c r="G443" s="42" t="s">
        <v>126</v>
      </c>
      <c r="H443" s="42" t="s">
        <v>34</v>
      </c>
      <c r="I443" s="42" t="s">
        <v>34</v>
      </c>
      <c r="J443" s="42" t="s">
        <v>188</v>
      </c>
      <c r="K443" s="42" t="s">
        <v>103</v>
      </c>
      <c r="L443" s="44">
        <v>29.33</v>
      </c>
      <c r="M443" s="44">
        <v>18.75</v>
      </c>
      <c r="N443" s="44">
        <v>-10.58</v>
      </c>
      <c r="O443" s="42" t="s">
        <v>103</v>
      </c>
      <c r="P443" s="42">
        <v>1</v>
      </c>
      <c r="Q443" s="45">
        <f t="shared" si="12"/>
        <v>0.63927719058983978</v>
      </c>
      <c r="R443" s="46">
        <f t="shared" si="13"/>
        <v>30</v>
      </c>
    </row>
    <row r="444" spans="1:18" x14ac:dyDescent="0.2">
      <c r="A444" s="36" t="s">
        <v>1288</v>
      </c>
      <c r="B444" s="36" t="s">
        <v>468</v>
      </c>
      <c r="C444" s="36" t="s">
        <v>469</v>
      </c>
      <c r="D444" s="40">
        <v>45876</v>
      </c>
      <c r="E444" s="36" t="s">
        <v>763</v>
      </c>
      <c r="F444" s="36" t="s">
        <v>25</v>
      </c>
      <c r="G444" s="36" t="s">
        <v>100</v>
      </c>
      <c r="H444" s="36" t="s">
        <v>28</v>
      </c>
      <c r="I444" s="36" t="s">
        <v>28</v>
      </c>
      <c r="J444" s="36" t="s">
        <v>109</v>
      </c>
      <c r="K444" s="36" t="s">
        <v>103</v>
      </c>
      <c r="L444" s="37">
        <v>56.55</v>
      </c>
      <c r="M444" s="37">
        <v>94.33</v>
      </c>
      <c r="N444" s="37">
        <v>37.78</v>
      </c>
      <c r="O444" s="36" t="s">
        <v>103</v>
      </c>
      <c r="P444" s="36">
        <v>0</v>
      </c>
      <c r="Q444" s="41">
        <f t="shared" si="12"/>
        <v>1.668081343943413</v>
      </c>
      <c r="R444" s="38">
        <f t="shared" si="13"/>
        <v>20</v>
      </c>
    </row>
    <row r="445" spans="1:18" x14ac:dyDescent="0.2">
      <c r="A445" s="42" t="s">
        <v>1289</v>
      </c>
      <c r="B445" s="42" t="s">
        <v>731</v>
      </c>
      <c r="C445" s="42" t="s">
        <v>732</v>
      </c>
      <c r="D445" s="43">
        <v>45997</v>
      </c>
      <c r="E445" s="42" t="s">
        <v>1290</v>
      </c>
      <c r="F445" s="42" t="s">
        <v>31</v>
      </c>
      <c r="G445" s="42" t="s">
        <v>120</v>
      </c>
      <c r="H445" s="42" t="s">
        <v>34</v>
      </c>
      <c r="I445" s="42" t="s">
        <v>34</v>
      </c>
      <c r="J445" s="42" t="s">
        <v>121</v>
      </c>
      <c r="K445" s="42" t="s">
        <v>102</v>
      </c>
      <c r="L445" s="44">
        <v>171.04</v>
      </c>
      <c r="M445" s="44">
        <v>336.6</v>
      </c>
      <c r="N445" s="44">
        <v>165.56</v>
      </c>
      <c r="O445" s="42" t="s">
        <v>103</v>
      </c>
      <c r="P445" s="42">
        <v>1</v>
      </c>
      <c r="Q445" s="45">
        <f t="shared" si="12"/>
        <v>1.9679607109448085</v>
      </c>
      <c r="R445" s="46">
        <f t="shared" si="13"/>
        <v>0</v>
      </c>
    </row>
    <row r="446" spans="1:18" x14ac:dyDescent="0.2">
      <c r="A446" s="36" t="s">
        <v>1291</v>
      </c>
      <c r="B446" s="36" t="s">
        <v>1042</v>
      </c>
      <c r="C446" s="36" t="s">
        <v>1043</v>
      </c>
      <c r="D446" s="40">
        <v>45705</v>
      </c>
      <c r="E446" s="36" t="s">
        <v>1292</v>
      </c>
      <c r="F446" s="36" t="s">
        <v>29</v>
      </c>
      <c r="G446" s="36" t="s">
        <v>114</v>
      </c>
      <c r="H446" s="36" t="s">
        <v>23</v>
      </c>
      <c r="I446" s="36" t="s">
        <v>23</v>
      </c>
      <c r="J446" s="36" t="s">
        <v>101</v>
      </c>
      <c r="K446" s="36" t="s">
        <v>103</v>
      </c>
      <c r="L446" s="37">
        <v>177.93</v>
      </c>
      <c r="M446" s="37">
        <v>44.56</v>
      </c>
      <c r="N446" s="37">
        <v>-133.37</v>
      </c>
      <c r="O446" s="36" t="s">
        <v>103</v>
      </c>
      <c r="P446" s="36">
        <v>1</v>
      </c>
      <c r="Q446" s="41">
        <f t="shared" si="12"/>
        <v>0.25043556454785593</v>
      </c>
      <c r="R446" s="38">
        <f t="shared" si="13"/>
        <v>20</v>
      </c>
    </row>
    <row r="447" spans="1:18" x14ac:dyDescent="0.2">
      <c r="A447" s="42" t="s">
        <v>1293</v>
      </c>
      <c r="B447" s="42" t="s">
        <v>665</v>
      </c>
      <c r="C447" s="42" t="s">
        <v>666</v>
      </c>
      <c r="D447" s="43">
        <v>45855</v>
      </c>
      <c r="E447" s="42" t="s">
        <v>1294</v>
      </c>
      <c r="F447" s="42" t="s">
        <v>22</v>
      </c>
      <c r="G447" s="42" t="s">
        <v>131</v>
      </c>
      <c r="H447" s="42" t="s">
        <v>34</v>
      </c>
      <c r="I447" s="42" t="s">
        <v>34</v>
      </c>
      <c r="J447" s="42" t="s">
        <v>152</v>
      </c>
      <c r="K447" s="42" t="s">
        <v>102</v>
      </c>
      <c r="L447" s="44">
        <v>244.34</v>
      </c>
      <c r="M447" s="44">
        <v>226.71</v>
      </c>
      <c r="N447" s="44">
        <v>-17.63</v>
      </c>
      <c r="O447" s="42" t="s">
        <v>103</v>
      </c>
      <c r="P447" s="42">
        <v>0</v>
      </c>
      <c r="Q447" s="45">
        <f t="shared" si="12"/>
        <v>0.92784644348039624</v>
      </c>
      <c r="R447" s="46">
        <f t="shared" si="13"/>
        <v>0</v>
      </c>
    </row>
    <row r="448" spans="1:18" x14ac:dyDescent="0.2">
      <c r="A448" s="36" t="s">
        <v>1295</v>
      </c>
      <c r="B448" s="36" t="s">
        <v>1296</v>
      </c>
      <c r="C448" s="36" t="s">
        <v>1297</v>
      </c>
      <c r="D448" s="40">
        <v>45725</v>
      </c>
      <c r="E448" s="36" t="s">
        <v>1298</v>
      </c>
      <c r="F448" s="36" t="s">
        <v>33</v>
      </c>
      <c r="G448" s="36" t="s">
        <v>100</v>
      </c>
      <c r="H448" s="36" t="s">
        <v>23</v>
      </c>
      <c r="I448" s="36" t="s">
        <v>23</v>
      </c>
      <c r="J448" s="36" t="s">
        <v>101</v>
      </c>
      <c r="K448" s="36" t="s">
        <v>102</v>
      </c>
      <c r="L448" s="37">
        <v>38.74</v>
      </c>
      <c r="M448" s="37">
        <v>80.319999999999993</v>
      </c>
      <c r="N448" s="37">
        <v>41.58</v>
      </c>
      <c r="O448" s="36" t="s">
        <v>103</v>
      </c>
      <c r="P448" s="36">
        <v>0</v>
      </c>
      <c r="Q448" s="41">
        <f t="shared" si="12"/>
        <v>2.0733092410944756</v>
      </c>
      <c r="R448" s="38">
        <f t="shared" si="13"/>
        <v>10</v>
      </c>
    </row>
    <row r="449" spans="1:18" x14ac:dyDescent="0.2">
      <c r="A449" s="42" t="s">
        <v>1299</v>
      </c>
      <c r="B449" s="42" t="s">
        <v>549</v>
      </c>
      <c r="C449" s="42" t="s">
        <v>550</v>
      </c>
      <c r="D449" s="43">
        <v>45960</v>
      </c>
      <c r="E449" s="42" t="s">
        <v>1300</v>
      </c>
      <c r="F449" s="42" t="s">
        <v>31</v>
      </c>
      <c r="G449" s="42" t="s">
        <v>114</v>
      </c>
      <c r="H449" s="42" t="s">
        <v>34</v>
      </c>
      <c r="I449" s="42" t="s">
        <v>34</v>
      </c>
      <c r="J449" s="42" t="s">
        <v>121</v>
      </c>
      <c r="K449" s="42" t="s">
        <v>102</v>
      </c>
      <c r="L449" s="44">
        <v>288.77999999999997</v>
      </c>
      <c r="M449" s="44">
        <v>278.37</v>
      </c>
      <c r="N449" s="44">
        <v>-10.41</v>
      </c>
      <c r="O449" s="42" t="s">
        <v>103</v>
      </c>
      <c r="P449" s="42">
        <v>0</v>
      </c>
      <c r="Q449" s="45">
        <f t="shared" si="12"/>
        <v>0.96395179721587376</v>
      </c>
      <c r="R449" s="46">
        <f t="shared" si="13"/>
        <v>0</v>
      </c>
    </row>
    <row r="450" spans="1:18" x14ac:dyDescent="0.2">
      <c r="A450" s="36" t="s">
        <v>1301</v>
      </c>
      <c r="B450" s="36" t="s">
        <v>461</v>
      </c>
      <c r="C450" s="36" t="s">
        <v>462</v>
      </c>
      <c r="D450" s="40">
        <v>45841</v>
      </c>
      <c r="E450" s="36" t="s">
        <v>1302</v>
      </c>
      <c r="F450" s="36" t="s">
        <v>27</v>
      </c>
      <c r="G450" s="36" t="s">
        <v>131</v>
      </c>
      <c r="H450" s="36" t="s">
        <v>34</v>
      </c>
      <c r="I450" s="36" t="s">
        <v>34</v>
      </c>
      <c r="J450" s="36" t="s">
        <v>121</v>
      </c>
      <c r="K450" s="36" t="s">
        <v>102</v>
      </c>
      <c r="L450" s="37">
        <v>432.66</v>
      </c>
      <c r="M450" s="37">
        <v>837.58</v>
      </c>
      <c r="N450" s="37">
        <v>404.92</v>
      </c>
      <c r="O450" s="36" t="s">
        <v>103</v>
      </c>
      <c r="P450" s="36">
        <v>0</v>
      </c>
      <c r="Q450" s="41">
        <f t="shared" ref="Q450:Q501" si="14">IF(L450=0,0,M450/L450)</f>
        <v>1.935884990523737</v>
      </c>
      <c r="R450" s="38">
        <f t="shared" ref="R450:R513" si="15">IF(O450="YES",30,0)+IF(Q450&gt;3,25,IF(Q450&gt;2,10,0))+IF(K450="No",20,0)+IF(L450&gt;1000,15,IF(L450&gt;500,7,0))+IF(G450="Unknown-Device",10,0)</f>
        <v>0</v>
      </c>
    </row>
    <row r="451" spans="1:18" x14ac:dyDescent="0.2">
      <c r="A451" s="42" t="s">
        <v>1303</v>
      </c>
      <c r="B451" s="42" t="s">
        <v>117</v>
      </c>
      <c r="C451" s="42" t="s">
        <v>118</v>
      </c>
      <c r="D451" s="43">
        <v>45907</v>
      </c>
      <c r="E451" s="42" t="s">
        <v>1304</v>
      </c>
      <c r="F451" s="42" t="s">
        <v>19</v>
      </c>
      <c r="G451" s="42" t="s">
        <v>126</v>
      </c>
      <c r="H451" s="42" t="s">
        <v>34</v>
      </c>
      <c r="I451" s="42" t="s">
        <v>34</v>
      </c>
      <c r="J451" s="42" t="s">
        <v>121</v>
      </c>
      <c r="K451" s="42" t="s">
        <v>103</v>
      </c>
      <c r="L451" s="44">
        <v>211.53</v>
      </c>
      <c r="M451" s="44">
        <v>21.39</v>
      </c>
      <c r="N451" s="44">
        <v>-190.14</v>
      </c>
      <c r="O451" s="42" t="s">
        <v>103</v>
      </c>
      <c r="P451" s="42">
        <v>1</v>
      </c>
      <c r="Q451" s="45">
        <f t="shared" si="14"/>
        <v>0.10112040845270175</v>
      </c>
      <c r="R451" s="46">
        <f t="shared" si="15"/>
        <v>30</v>
      </c>
    </row>
    <row r="452" spans="1:18" x14ac:dyDescent="0.2">
      <c r="A452" s="36" t="s">
        <v>1305</v>
      </c>
      <c r="B452" s="36" t="s">
        <v>468</v>
      </c>
      <c r="C452" s="36" t="s">
        <v>469</v>
      </c>
      <c r="D452" s="40">
        <v>45664</v>
      </c>
      <c r="E452" s="36" t="s">
        <v>1306</v>
      </c>
      <c r="F452" s="36" t="s">
        <v>31</v>
      </c>
      <c r="G452" s="36" t="s">
        <v>126</v>
      </c>
      <c r="H452" s="36" t="s">
        <v>28</v>
      </c>
      <c r="I452" s="36" t="s">
        <v>28</v>
      </c>
      <c r="J452" s="36" t="s">
        <v>109</v>
      </c>
      <c r="K452" s="36" t="s">
        <v>103</v>
      </c>
      <c r="L452" s="37">
        <v>342.19</v>
      </c>
      <c r="M452" s="37">
        <v>577.80999999999995</v>
      </c>
      <c r="N452" s="37">
        <v>235.62</v>
      </c>
      <c r="O452" s="36" t="s">
        <v>103</v>
      </c>
      <c r="P452" s="36">
        <v>0</v>
      </c>
      <c r="Q452" s="41">
        <f t="shared" si="14"/>
        <v>1.6885648324030509</v>
      </c>
      <c r="R452" s="38">
        <f t="shared" si="15"/>
        <v>30</v>
      </c>
    </row>
    <row r="453" spans="1:18" x14ac:dyDescent="0.2">
      <c r="A453" s="42" t="s">
        <v>1307</v>
      </c>
      <c r="B453" s="42" t="s">
        <v>58</v>
      </c>
      <c r="C453" s="42" t="s">
        <v>59</v>
      </c>
      <c r="D453" s="43">
        <v>45772</v>
      </c>
      <c r="E453" s="42" t="s">
        <v>1162</v>
      </c>
      <c r="F453" s="42" t="s">
        <v>29</v>
      </c>
      <c r="G453" s="42" t="s">
        <v>120</v>
      </c>
      <c r="H453" s="42" t="s">
        <v>23</v>
      </c>
      <c r="I453" s="42" t="s">
        <v>30</v>
      </c>
      <c r="J453" s="42" t="s">
        <v>101</v>
      </c>
      <c r="K453" s="42" t="s">
        <v>102</v>
      </c>
      <c r="L453" s="44">
        <v>4525.49</v>
      </c>
      <c r="M453" s="44">
        <v>17024.71</v>
      </c>
      <c r="N453" s="44">
        <v>12499.22</v>
      </c>
      <c r="O453" s="42" t="s">
        <v>318</v>
      </c>
      <c r="P453" s="42">
        <v>0</v>
      </c>
      <c r="Q453" s="45">
        <f t="shared" si="14"/>
        <v>3.7619594784211214</v>
      </c>
      <c r="R453" s="46">
        <f t="shared" si="15"/>
        <v>70</v>
      </c>
    </row>
    <row r="454" spans="1:18" x14ac:dyDescent="0.2">
      <c r="A454" s="36" t="s">
        <v>1308</v>
      </c>
      <c r="B454" s="36" t="s">
        <v>376</v>
      </c>
      <c r="C454" s="36" t="s">
        <v>377</v>
      </c>
      <c r="D454" s="40">
        <v>46004</v>
      </c>
      <c r="E454" s="36" t="s">
        <v>453</v>
      </c>
      <c r="F454" s="36" t="s">
        <v>31</v>
      </c>
      <c r="G454" s="36" t="s">
        <v>100</v>
      </c>
      <c r="H454" s="36" t="s">
        <v>30</v>
      </c>
      <c r="I454" s="36" t="s">
        <v>30</v>
      </c>
      <c r="J454" s="36" t="s">
        <v>143</v>
      </c>
      <c r="K454" s="36" t="s">
        <v>102</v>
      </c>
      <c r="L454" s="37">
        <v>82.84</v>
      </c>
      <c r="M454" s="37">
        <v>150.62</v>
      </c>
      <c r="N454" s="37">
        <v>67.78</v>
      </c>
      <c r="O454" s="36" t="s">
        <v>103</v>
      </c>
      <c r="P454" s="36">
        <v>0</v>
      </c>
      <c r="Q454" s="41">
        <f t="shared" si="14"/>
        <v>1.8182037662964752</v>
      </c>
      <c r="R454" s="38">
        <f t="shared" si="15"/>
        <v>0</v>
      </c>
    </row>
    <row r="455" spans="1:18" x14ac:dyDescent="0.2">
      <c r="A455" s="42" t="s">
        <v>1309</v>
      </c>
      <c r="B455" s="42" t="s">
        <v>659</v>
      </c>
      <c r="C455" s="42" t="s">
        <v>660</v>
      </c>
      <c r="D455" s="43">
        <v>45987</v>
      </c>
      <c r="E455" s="42" t="s">
        <v>1310</v>
      </c>
      <c r="F455" s="42" t="s">
        <v>22</v>
      </c>
      <c r="G455" s="42" t="s">
        <v>131</v>
      </c>
      <c r="H455" s="42" t="s">
        <v>34</v>
      </c>
      <c r="I455" s="42" t="s">
        <v>34</v>
      </c>
      <c r="J455" s="42" t="s">
        <v>121</v>
      </c>
      <c r="K455" s="42" t="s">
        <v>102</v>
      </c>
      <c r="L455" s="44">
        <v>425.93</v>
      </c>
      <c r="M455" s="44">
        <v>798.24</v>
      </c>
      <c r="N455" s="44">
        <v>372.31</v>
      </c>
      <c r="O455" s="42" t="s">
        <v>103</v>
      </c>
      <c r="P455" s="42">
        <v>0</v>
      </c>
      <c r="Q455" s="45">
        <f t="shared" si="14"/>
        <v>1.8741107693752495</v>
      </c>
      <c r="R455" s="46">
        <f t="shared" si="15"/>
        <v>0</v>
      </c>
    </row>
    <row r="456" spans="1:18" x14ac:dyDescent="0.2">
      <c r="A456" s="36" t="s">
        <v>1311</v>
      </c>
      <c r="B456" s="36" t="s">
        <v>332</v>
      </c>
      <c r="C456" s="36" t="s">
        <v>333</v>
      </c>
      <c r="D456" s="40">
        <v>46042</v>
      </c>
      <c r="E456" s="36" t="s">
        <v>1312</v>
      </c>
      <c r="F456" s="36" t="s">
        <v>25</v>
      </c>
      <c r="G456" s="36" t="s">
        <v>108</v>
      </c>
      <c r="H456" s="36" t="s">
        <v>34</v>
      </c>
      <c r="I456" s="36" t="s">
        <v>34</v>
      </c>
      <c r="J456" s="36" t="s">
        <v>152</v>
      </c>
      <c r="K456" s="36" t="s">
        <v>103</v>
      </c>
      <c r="L456" s="37">
        <v>128.04</v>
      </c>
      <c r="M456" s="37">
        <v>273.27999999999997</v>
      </c>
      <c r="N456" s="37">
        <v>145.24</v>
      </c>
      <c r="O456" s="36" t="s">
        <v>103</v>
      </c>
      <c r="P456" s="36">
        <v>0</v>
      </c>
      <c r="Q456" s="41">
        <f t="shared" si="14"/>
        <v>2.134333020930959</v>
      </c>
      <c r="R456" s="38">
        <f t="shared" si="15"/>
        <v>30</v>
      </c>
    </row>
    <row r="457" spans="1:18" x14ac:dyDescent="0.2">
      <c r="A457" s="42" t="s">
        <v>1313</v>
      </c>
      <c r="B457" s="42" t="s">
        <v>521</v>
      </c>
      <c r="C457" s="42" t="s">
        <v>522</v>
      </c>
      <c r="D457" s="43">
        <v>45939</v>
      </c>
      <c r="E457" s="42" t="s">
        <v>453</v>
      </c>
      <c r="F457" s="42" t="s">
        <v>29</v>
      </c>
      <c r="G457" s="42" t="s">
        <v>114</v>
      </c>
      <c r="H457" s="42" t="s">
        <v>34</v>
      </c>
      <c r="I457" s="42" t="s">
        <v>34</v>
      </c>
      <c r="J457" s="42" t="s">
        <v>152</v>
      </c>
      <c r="K457" s="42" t="s">
        <v>103</v>
      </c>
      <c r="L457" s="44">
        <v>207.61</v>
      </c>
      <c r="M457" s="44">
        <v>107.33</v>
      </c>
      <c r="N457" s="44">
        <v>-100.28</v>
      </c>
      <c r="O457" s="42" t="s">
        <v>103</v>
      </c>
      <c r="P457" s="42">
        <v>2</v>
      </c>
      <c r="Q457" s="45">
        <f t="shared" si="14"/>
        <v>0.51697895091758583</v>
      </c>
      <c r="R457" s="46">
        <f t="shared" si="15"/>
        <v>20</v>
      </c>
    </row>
    <row r="458" spans="1:18" x14ac:dyDescent="0.2">
      <c r="A458" s="36" t="s">
        <v>1314</v>
      </c>
      <c r="B458" s="36" t="s">
        <v>1034</v>
      </c>
      <c r="C458" s="36" t="s">
        <v>1035</v>
      </c>
      <c r="D458" s="40">
        <v>45887</v>
      </c>
      <c r="E458" s="36" t="s">
        <v>1315</v>
      </c>
      <c r="F458" s="36" t="s">
        <v>29</v>
      </c>
      <c r="G458" s="36" t="s">
        <v>126</v>
      </c>
      <c r="H458" s="36" t="s">
        <v>34</v>
      </c>
      <c r="I458" s="36" t="s">
        <v>34</v>
      </c>
      <c r="J458" s="36" t="s">
        <v>121</v>
      </c>
      <c r="K458" s="36" t="s">
        <v>103</v>
      </c>
      <c r="L458" s="37">
        <v>254.24</v>
      </c>
      <c r="M458" s="37">
        <v>176.78</v>
      </c>
      <c r="N458" s="37">
        <v>-77.459999999999994</v>
      </c>
      <c r="O458" s="36" t="s">
        <v>103</v>
      </c>
      <c r="P458" s="36">
        <v>0</v>
      </c>
      <c r="Q458" s="41">
        <f t="shared" si="14"/>
        <v>0.69532724984266836</v>
      </c>
      <c r="R458" s="38">
        <f t="shared" si="15"/>
        <v>30</v>
      </c>
    </row>
    <row r="459" spans="1:18" x14ac:dyDescent="0.2">
      <c r="A459" s="42" t="s">
        <v>1316</v>
      </c>
      <c r="B459" s="42" t="s">
        <v>610</v>
      </c>
      <c r="C459" s="42" t="s">
        <v>611</v>
      </c>
      <c r="D459" s="43">
        <v>45667</v>
      </c>
      <c r="E459" s="42" t="s">
        <v>1317</v>
      </c>
      <c r="F459" s="42" t="s">
        <v>25</v>
      </c>
      <c r="G459" s="42" t="s">
        <v>100</v>
      </c>
      <c r="H459" s="42" t="s">
        <v>34</v>
      </c>
      <c r="I459" s="42" t="s">
        <v>34</v>
      </c>
      <c r="J459" s="42" t="s">
        <v>121</v>
      </c>
      <c r="K459" s="42" t="s">
        <v>102</v>
      </c>
      <c r="L459" s="44">
        <v>212.05</v>
      </c>
      <c r="M459" s="44">
        <v>259.91000000000003</v>
      </c>
      <c r="N459" s="44">
        <v>47.86</v>
      </c>
      <c r="O459" s="42" t="s">
        <v>103</v>
      </c>
      <c r="P459" s="42">
        <v>0</v>
      </c>
      <c r="Q459" s="45">
        <f t="shared" si="14"/>
        <v>1.2257014854987032</v>
      </c>
      <c r="R459" s="46">
        <f t="shared" si="15"/>
        <v>0</v>
      </c>
    </row>
    <row r="460" spans="1:18" x14ac:dyDescent="0.2">
      <c r="A460" s="36" t="s">
        <v>1318</v>
      </c>
      <c r="B460" s="36" t="s">
        <v>240</v>
      </c>
      <c r="C460" s="36" t="s">
        <v>241</v>
      </c>
      <c r="D460" s="40">
        <v>45974</v>
      </c>
      <c r="E460" s="36" t="s">
        <v>975</v>
      </c>
      <c r="F460" s="36" t="s">
        <v>27</v>
      </c>
      <c r="G460" s="36" t="s">
        <v>126</v>
      </c>
      <c r="H460" s="36" t="s">
        <v>28</v>
      </c>
      <c r="I460" s="36" t="s">
        <v>28</v>
      </c>
      <c r="J460" s="36" t="s">
        <v>109</v>
      </c>
      <c r="K460" s="36" t="s">
        <v>102</v>
      </c>
      <c r="L460" s="37">
        <v>446.15</v>
      </c>
      <c r="M460" s="37">
        <v>551.95000000000005</v>
      </c>
      <c r="N460" s="37">
        <v>105.8</v>
      </c>
      <c r="O460" s="36" t="s">
        <v>103</v>
      </c>
      <c r="P460" s="36">
        <v>0</v>
      </c>
      <c r="Q460" s="41">
        <f t="shared" si="14"/>
        <v>1.2371399753446153</v>
      </c>
      <c r="R460" s="38">
        <f t="shared" si="15"/>
        <v>10</v>
      </c>
    </row>
    <row r="461" spans="1:18" x14ac:dyDescent="0.2">
      <c r="A461" s="42" t="s">
        <v>1319</v>
      </c>
      <c r="B461" s="42" t="s">
        <v>1199</v>
      </c>
      <c r="C461" s="42" t="s">
        <v>1200</v>
      </c>
      <c r="D461" s="43">
        <v>45832</v>
      </c>
      <c r="E461" s="42" t="s">
        <v>1292</v>
      </c>
      <c r="F461" s="42" t="s">
        <v>29</v>
      </c>
      <c r="G461" s="42" t="s">
        <v>120</v>
      </c>
      <c r="H461" s="42" t="s">
        <v>34</v>
      </c>
      <c r="I461" s="42" t="s">
        <v>34</v>
      </c>
      <c r="J461" s="42" t="s">
        <v>121</v>
      </c>
      <c r="K461" s="42" t="s">
        <v>103</v>
      </c>
      <c r="L461" s="44">
        <v>36.590000000000003</v>
      </c>
      <c r="M461" s="44">
        <v>17.940000000000001</v>
      </c>
      <c r="N461" s="44">
        <v>-18.649999999999999</v>
      </c>
      <c r="O461" s="42" t="s">
        <v>103</v>
      </c>
      <c r="P461" s="42">
        <v>0</v>
      </c>
      <c r="Q461" s="45">
        <f t="shared" si="14"/>
        <v>0.49029789559989068</v>
      </c>
      <c r="R461" s="46">
        <f t="shared" si="15"/>
        <v>20</v>
      </c>
    </row>
    <row r="462" spans="1:18" x14ac:dyDescent="0.2">
      <c r="A462" s="36" t="s">
        <v>1320</v>
      </c>
      <c r="B462" s="36" t="s">
        <v>168</v>
      </c>
      <c r="C462" s="36" t="s">
        <v>169</v>
      </c>
      <c r="D462" s="40">
        <v>46050</v>
      </c>
      <c r="E462" s="36" t="s">
        <v>348</v>
      </c>
      <c r="F462" s="36" t="s">
        <v>27</v>
      </c>
      <c r="G462" s="36" t="s">
        <v>114</v>
      </c>
      <c r="H462" s="36" t="s">
        <v>34</v>
      </c>
      <c r="I462" s="36" t="s">
        <v>34</v>
      </c>
      <c r="J462" s="36" t="s">
        <v>121</v>
      </c>
      <c r="K462" s="36" t="s">
        <v>102</v>
      </c>
      <c r="L462" s="37">
        <v>241.84</v>
      </c>
      <c r="M462" s="37">
        <v>349.64</v>
      </c>
      <c r="N462" s="37">
        <v>107.8</v>
      </c>
      <c r="O462" s="36" t="s">
        <v>103</v>
      </c>
      <c r="P462" s="36">
        <v>3</v>
      </c>
      <c r="Q462" s="41">
        <f t="shared" si="14"/>
        <v>1.4457492557062519</v>
      </c>
      <c r="R462" s="38">
        <f t="shared" si="15"/>
        <v>0</v>
      </c>
    </row>
    <row r="463" spans="1:18" x14ac:dyDescent="0.2">
      <c r="A463" s="42" t="s">
        <v>1321</v>
      </c>
      <c r="B463" s="42" t="s">
        <v>176</v>
      </c>
      <c r="C463" s="42" t="s">
        <v>177</v>
      </c>
      <c r="D463" s="43">
        <v>45707</v>
      </c>
      <c r="E463" s="42" t="s">
        <v>1135</v>
      </c>
      <c r="F463" s="42" t="s">
        <v>27</v>
      </c>
      <c r="G463" s="42" t="s">
        <v>120</v>
      </c>
      <c r="H463" s="42" t="s">
        <v>34</v>
      </c>
      <c r="I463" s="42" t="s">
        <v>34</v>
      </c>
      <c r="J463" s="42" t="s">
        <v>121</v>
      </c>
      <c r="K463" s="42" t="s">
        <v>102</v>
      </c>
      <c r="L463" s="44">
        <v>11.08</v>
      </c>
      <c r="M463" s="44">
        <v>8.66</v>
      </c>
      <c r="N463" s="44">
        <v>-2.42</v>
      </c>
      <c r="O463" s="42" t="s">
        <v>103</v>
      </c>
      <c r="P463" s="42">
        <v>0</v>
      </c>
      <c r="Q463" s="45">
        <f t="shared" si="14"/>
        <v>0.78158844765342961</v>
      </c>
      <c r="R463" s="46">
        <f t="shared" si="15"/>
        <v>0</v>
      </c>
    </row>
    <row r="464" spans="1:18" x14ac:dyDescent="0.2">
      <c r="A464" s="36" t="s">
        <v>1322</v>
      </c>
      <c r="B464" s="36" t="s">
        <v>236</v>
      </c>
      <c r="C464" s="36" t="s">
        <v>237</v>
      </c>
      <c r="D464" s="40">
        <v>45925</v>
      </c>
      <c r="E464" s="36" t="s">
        <v>1323</v>
      </c>
      <c r="F464" s="36" t="s">
        <v>29</v>
      </c>
      <c r="G464" s="36" t="s">
        <v>131</v>
      </c>
      <c r="H464" s="36" t="s">
        <v>34</v>
      </c>
      <c r="I464" s="36" t="s">
        <v>34</v>
      </c>
      <c r="J464" s="36" t="s">
        <v>188</v>
      </c>
      <c r="K464" s="36" t="s">
        <v>102</v>
      </c>
      <c r="L464" s="37">
        <v>62.1</v>
      </c>
      <c r="M464" s="37">
        <v>122.53</v>
      </c>
      <c r="N464" s="37">
        <v>60.43</v>
      </c>
      <c r="O464" s="36" t="s">
        <v>103</v>
      </c>
      <c r="P464" s="36">
        <v>1</v>
      </c>
      <c r="Q464" s="41">
        <f t="shared" si="14"/>
        <v>1.9731078904991948</v>
      </c>
      <c r="R464" s="38">
        <f t="shared" si="15"/>
        <v>0</v>
      </c>
    </row>
    <row r="465" spans="1:18" x14ac:dyDescent="0.2">
      <c r="A465" s="42" t="s">
        <v>1324</v>
      </c>
      <c r="B465" s="42" t="s">
        <v>465</v>
      </c>
      <c r="C465" s="42" t="s">
        <v>466</v>
      </c>
      <c r="D465" s="43">
        <v>46038</v>
      </c>
      <c r="E465" s="42" t="s">
        <v>1325</v>
      </c>
      <c r="F465" s="42" t="s">
        <v>33</v>
      </c>
      <c r="G465" s="42" t="s">
        <v>100</v>
      </c>
      <c r="H465" s="42" t="s">
        <v>34</v>
      </c>
      <c r="I465" s="42" t="s">
        <v>34</v>
      </c>
      <c r="J465" s="42" t="s">
        <v>152</v>
      </c>
      <c r="K465" s="42" t="s">
        <v>103</v>
      </c>
      <c r="L465" s="44">
        <v>62.41</v>
      </c>
      <c r="M465" s="44">
        <v>83.87</v>
      </c>
      <c r="N465" s="44">
        <v>21.46</v>
      </c>
      <c r="O465" s="42" t="s">
        <v>103</v>
      </c>
      <c r="P465" s="42">
        <v>0</v>
      </c>
      <c r="Q465" s="45">
        <f t="shared" si="14"/>
        <v>1.3438551514180421</v>
      </c>
      <c r="R465" s="46">
        <f t="shared" si="15"/>
        <v>20</v>
      </c>
    </row>
    <row r="466" spans="1:18" x14ac:dyDescent="0.2">
      <c r="A466" s="36" t="s">
        <v>1326</v>
      </c>
      <c r="B466" s="36" t="s">
        <v>714</v>
      </c>
      <c r="C466" s="36" t="s">
        <v>715</v>
      </c>
      <c r="D466" s="40">
        <v>45768</v>
      </c>
      <c r="E466" s="36" t="s">
        <v>1327</v>
      </c>
      <c r="F466" s="36" t="s">
        <v>25</v>
      </c>
      <c r="G466" s="36" t="s">
        <v>114</v>
      </c>
      <c r="H466" s="36" t="s">
        <v>34</v>
      </c>
      <c r="I466" s="36" t="s">
        <v>34</v>
      </c>
      <c r="J466" s="36" t="s">
        <v>115</v>
      </c>
      <c r="K466" s="36" t="s">
        <v>102</v>
      </c>
      <c r="L466" s="37">
        <v>392.9</v>
      </c>
      <c r="M466" s="37">
        <v>619.58000000000004</v>
      </c>
      <c r="N466" s="37">
        <v>226.68</v>
      </c>
      <c r="O466" s="36" t="s">
        <v>103</v>
      </c>
      <c r="P466" s="36">
        <v>1</v>
      </c>
      <c r="Q466" s="41">
        <f t="shared" si="14"/>
        <v>1.5769406973784681</v>
      </c>
      <c r="R466" s="38">
        <f t="shared" si="15"/>
        <v>0</v>
      </c>
    </row>
    <row r="467" spans="1:18" x14ac:dyDescent="0.2">
      <c r="A467" s="42" t="s">
        <v>1328</v>
      </c>
      <c r="B467" s="42" t="s">
        <v>224</v>
      </c>
      <c r="C467" s="42" t="s">
        <v>225</v>
      </c>
      <c r="D467" s="43">
        <v>45982</v>
      </c>
      <c r="E467" s="42" t="s">
        <v>872</v>
      </c>
      <c r="F467" s="42" t="s">
        <v>29</v>
      </c>
      <c r="G467" s="42" t="s">
        <v>126</v>
      </c>
      <c r="H467" s="42" t="s">
        <v>34</v>
      </c>
      <c r="I467" s="42" t="s">
        <v>34</v>
      </c>
      <c r="J467" s="42" t="s">
        <v>121</v>
      </c>
      <c r="K467" s="42" t="s">
        <v>102</v>
      </c>
      <c r="L467" s="44">
        <v>70.38</v>
      </c>
      <c r="M467" s="44">
        <v>138.08000000000001</v>
      </c>
      <c r="N467" s="44">
        <v>67.7</v>
      </c>
      <c r="O467" s="42" t="s">
        <v>103</v>
      </c>
      <c r="P467" s="42">
        <v>1</v>
      </c>
      <c r="Q467" s="45">
        <f t="shared" si="14"/>
        <v>1.961921000284172</v>
      </c>
      <c r="R467" s="46">
        <f t="shared" si="15"/>
        <v>10</v>
      </c>
    </row>
    <row r="468" spans="1:18" x14ac:dyDescent="0.2">
      <c r="A468" s="36" t="s">
        <v>1329</v>
      </c>
      <c r="B468" s="36" t="s">
        <v>1177</v>
      </c>
      <c r="C468" s="36" t="s">
        <v>1178</v>
      </c>
      <c r="D468" s="40">
        <v>45916</v>
      </c>
      <c r="E468" s="36" t="s">
        <v>1330</v>
      </c>
      <c r="F468" s="36" t="s">
        <v>31</v>
      </c>
      <c r="G468" s="36" t="s">
        <v>114</v>
      </c>
      <c r="H468" s="36" t="s">
        <v>34</v>
      </c>
      <c r="I468" s="36" t="s">
        <v>34</v>
      </c>
      <c r="J468" s="36" t="s">
        <v>121</v>
      </c>
      <c r="K468" s="36" t="s">
        <v>103</v>
      </c>
      <c r="L468" s="37">
        <v>12.13</v>
      </c>
      <c r="M468" s="37">
        <v>19.649999999999999</v>
      </c>
      <c r="N468" s="37">
        <v>7.52</v>
      </c>
      <c r="O468" s="36" t="s">
        <v>103</v>
      </c>
      <c r="P468" s="36">
        <v>0</v>
      </c>
      <c r="Q468" s="41">
        <f t="shared" si="14"/>
        <v>1.6199505358615003</v>
      </c>
      <c r="R468" s="38">
        <f t="shared" si="15"/>
        <v>20</v>
      </c>
    </row>
    <row r="469" spans="1:18" x14ac:dyDescent="0.2">
      <c r="A469" s="42" t="s">
        <v>1331</v>
      </c>
      <c r="B469" s="42" t="s">
        <v>97</v>
      </c>
      <c r="C469" s="42" t="s">
        <v>98</v>
      </c>
      <c r="D469" s="43">
        <v>45905</v>
      </c>
      <c r="E469" s="42" t="s">
        <v>1332</v>
      </c>
      <c r="F469" s="42" t="s">
        <v>31</v>
      </c>
      <c r="G469" s="42" t="s">
        <v>131</v>
      </c>
      <c r="H469" s="42" t="s">
        <v>23</v>
      </c>
      <c r="I469" s="42" t="s">
        <v>23</v>
      </c>
      <c r="J469" s="42" t="s">
        <v>101</v>
      </c>
      <c r="K469" s="42" t="s">
        <v>102</v>
      </c>
      <c r="L469" s="44">
        <v>461.37</v>
      </c>
      <c r="M469" s="44">
        <v>179.86</v>
      </c>
      <c r="N469" s="44">
        <v>-281.51</v>
      </c>
      <c r="O469" s="42" t="s">
        <v>103</v>
      </c>
      <c r="P469" s="42">
        <v>1</v>
      </c>
      <c r="Q469" s="45">
        <f t="shared" si="14"/>
        <v>0.38983895788629519</v>
      </c>
      <c r="R469" s="46">
        <f t="shared" si="15"/>
        <v>0</v>
      </c>
    </row>
    <row r="470" spans="1:18" x14ac:dyDescent="0.2">
      <c r="A470" s="36" t="s">
        <v>1333</v>
      </c>
      <c r="B470" s="36" t="s">
        <v>1042</v>
      </c>
      <c r="C470" s="36" t="s">
        <v>1043</v>
      </c>
      <c r="D470" s="40">
        <v>46075</v>
      </c>
      <c r="E470" s="36" t="s">
        <v>569</v>
      </c>
      <c r="F470" s="36" t="s">
        <v>19</v>
      </c>
      <c r="G470" s="36" t="s">
        <v>108</v>
      </c>
      <c r="H470" s="36" t="s">
        <v>23</v>
      </c>
      <c r="I470" s="36" t="s">
        <v>23</v>
      </c>
      <c r="J470" s="36" t="s">
        <v>101</v>
      </c>
      <c r="K470" s="36" t="s">
        <v>103</v>
      </c>
      <c r="L470" s="37">
        <v>199.83</v>
      </c>
      <c r="M470" s="37">
        <v>264.02</v>
      </c>
      <c r="N470" s="37">
        <v>64.19</v>
      </c>
      <c r="O470" s="36" t="s">
        <v>103</v>
      </c>
      <c r="P470" s="36">
        <v>1</v>
      </c>
      <c r="Q470" s="41">
        <f t="shared" si="14"/>
        <v>1.321223039583646</v>
      </c>
      <c r="R470" s="38">
        <f t="shared" si="15"/>
        <v>20</v>
      </c>
    </row>
    <row r="471" spans="1:18" x14ac:dyDescent="0.2">
      <c r="A471" s="42" t="s">
        <v>1334</v>
      </c>
      <c r="B471" s="42" t="s">
        <v>46</v>
      </c>
      <c r="C471" s="42" t="s">
        <v>47</v>
      </c>
      <c r="D471" s="43">
        <v>45872</v>
      </c>
      <c r="E471" s="42" t="s">
        <v>1335</v>
      </c>
      <c r="F471" s="42" t="s">
        <v>19</v>
      </c>
      <c r="G471" s="42" t="s">
        <v>114</v>
      </c>
      <c r="H471" s="42" t="s">
        <v>23</v>
      </c>
      <c r="I471" s="42" t="s">
        <v>20</v>
      </c>
      <c r="J471" s="42" t="s">
        <v>143</v>
      </c>
      <c r="K471" s="42" t="s">
        <v>102</v>
      </c>
      <c r="L471" s="44">
        <v>3044.44</v>
      </c>
      <c r="M471" s="44">
        <v>13400.72</v>
      </c>
      <c r="N471" s="44">
        <v>10356.280000000001</v>
      </c>
      <c r="O471" s="42" t="s">
        <v>318</v>
      </c>
      <c r="P471" s="42">
        <v>1</v>
      </c>
      <c r="Q471" s="45">
        <f t="shared" si="14"/>
        <v>4.401702776208432</v>
      </c>
      <c r="R471" s="46">
        <f t="shared" si="15"/>
        <v>70</v>
      </c>
    </row>
    <row r="472" spans="1:18" x14ac:dyDescent="0.2">
      <c r="A472" s="36" t="s">
        <v>1336</v>
      </c>
      <c r="B472" s="36" t="s">
        <v>947</v>
      </c>
      <c r="C472" s="36" t="s">
        <v>948</v>
      </c>
      <c r="D472" s="40">
        <v>45728</v>
      </c>
      <c r="E472" s="36" t="s">
        <v>1191</v>
      </c>
      <c r="F472" s="36" t="s">
        <v>19</v>
      </c>
      <c r="G472" s="36" t="s">
        <v>126</v>
      </c>
      <c r="H472" s="36" t="s">
        <v>32</v>
      </c>
      <c r="I472" s="36" t="s">
        <v>32</v>
      </c>
      <c r="J472" s="36" t="s">
        <v>132</v>
      </c>
      <c r="K472" s="36" t="s">
        <v>103</v>
      </c>
      <c r="L472" s="37">
        <v>353.01</v>
      </c>
      <c r="M472" s="37">
        <v>581.24</v>
      </c>
      <c r="N472" s="37">
        <v>228.23</v>
      </c>
      <c r="O472" s="36" t="s">
        <v>103</v>
      </c>
      <c r="P472" s="36">
        <v>0</v>
      </c>
      <c r="Q472" s="41">
        <f t="shared" si="14"/>
        <v>1.6465255941758024</v>
      </c>
      <c r="R472" s="38">
        <f t="shared" si="15"/>
        <v>30</v>
      </c>
    </row>
    <row r="473" spans="1:18" x14ac:dyDescent="0.2">
      <c r="A473" s="42" t="s">
        <v>1337</v>
      </c>
      <c r="B473" s="42" t="s">
        <v>236</v>
      </c>
      <c r="C473" s="42" t="s">
        <v>237</v>
      </c>
      <c r="D473" s="43">
        <v>45818</v>
      </c>
      <c r="E473" s="42" t="s">
        <v>1338</v>
      </c>
      <c r="F473" s="42" t="s">
        <v>33</v>
      </c>
      <c r="G473" s="42" t="s">
        <v>131</v>
      </c>
      <c r="H473" s="42" t="s">
        <v>34</v>
      </c>
      <c r="I473" s="42" t="s">
        <v>34</v>
      </c>
      <c r="J473" s="42" t="s">
        <v>188</v>
      </c>
      <c r="K473" s="42" t="s">
        <v>102</v>
      </c>
      <c r="L473" s="44">
        <v>468.4</v>
      </c>
      <c r="M473" s="44">
        <v>651.86</v>
      </c>
      <c r="N473" s="44">
        <v>183.46</v>
      </c>
      <c r="O473" s="42" t="s">
        <v>103</v>
      </c>
      <c r="P473" s="42">
        <v>1</v>
      </c>
      <c r="Q473" s="45">
        <f t="shared" si="14"/>
        <v>1.391673783091375</v>
      </c>
      <c r="R473" s="46">
        <f t="shared" si="15"/>
        <v>0</v>
      </c>
    </row>
    <row r="474" spans="1:18" x14ac:dyDescent="0.2">
      <c r="A474" s="36" t="s">
        <v>1339</v>
      </c>
      <c r="B474" s="36" t="s">
        <v>435</v>
      </c>
      <c r="C474" s="36" t="s">
        <v>436</v>
      </c>
      <c r="D474" s="40">
        <v>46023</v>
      </c>
      <c r="E474" s="36" t="s">
        <v>296</v>
      </c>
      <c r="F474" s="36" t="s">
        <v>27</v>
      </c>
      <c r="G474" s="36" t="s">
        <v>126</v>
      </c>
      <c r="H474" s="36" t="s">
        <v>34</v>
      </c>
      <c r="I474" s="36" t="s">
        <v>34</v>
      </c>
      <c r="J474" s="36" t="s">
        <v>188</v>
      </c>
      <c r="K474" s="36" t="s">
        <v>102</v>
      </c>
      <c r="L474" s="37">
        <v>179.19</v>
      </c>
      <c r="M474" s="37">
        <v>265.06</v>
      </c>
      <c r="N474" s="37">
        <v>85.87</v>
      </c>
      <c r="O474" s="36" t="s">
        <v>103</v>
      </c>
      <c r="P474" s="36">
        <v>2</v>
      </c>
      <c r="Q474" s="41">
        <f t="shared" si="14"/>
        <v>1.47921200959875</v>
      </c>
      <c r="R474" s="38">
        <f t="shared" si="15"/>
        <v>10</v>
      </c>
    </row>
    <row r="475" spans="1:18" x14ac:dyDescent="0.2">
      <c r="A475" s="42" t="s">
        <v>1340</v>
      </c>
      <c r="B475" s="42" t="s">
        <v>845</v>
      </c>
      <c r="C475" s="42" t="s">
        <v>846</v>
      </c>
      <c r="D475" s="43">
        <v>45915</v>
      </c>
      <c r="E475" s="42" t="s">
        <v>1113</v>
      </c>
      <c r="F475" s="42" t="s">
        <v>22</v>
      </c>
      <c r="G475" s="42" t="s">
        <v>120</v>
      </c>
      <c r="H475" s="42" t="s">
        <v>34</v>
      </c>
      <c r="I475" s="42" t="s">
        <v>34</v>
      </c>
      <c r="J475" s="42" t="s">
        <v>121</v>
      </c>
      <c r="K475" s="42" t="s">
        <v>103</v>
      </c>
      <c r="L475" s="44">
        <v>322.07</v>
      </c>
      <c r="M475" s="44">
        <v>503.32</v>
      </c>
      <c r="N475" s="44">
        <v>181.25</v>
      </c>
      <c r="O475" s="42" t="s">
        <v>103</v>
      </c>
      <c r="P475" s="42">
        <v>3</v>
      </c>
      <c r="Q475" s="45">
        <f t="shared" si="14"/>
        <v>1.562765858353774</v>
      </c>
      <c r="R475" s="46">
        <f t="shared" si="15"/>
        <v>20</v>
      </c>
    </row>
    <row r="476" spans="1:18" x14ac:dyDescent="0.2">
      <c r="A476" s="36" t="s">
        <v>1341</v>
      </c>
      <c r="B476" s="36" t="s">
        <v>168</v>
      </c>
      <c r="C476" s="36" t="s">
        <v>169</v>
      </c>
      <c r="D476" s="40">
        <v>45903</v>
      </c>
      <c r="E476" s="36" t="s">
        <v>612</v>
      </c>
      <c r="F476" s="36" t="s">
        <v>27</v>
      </c>
      <c r="G476" s="36" t="s">
        <v>126</v>
      </c>
      <c r="H476" s="36" t="s">
        <v>34</v>
      </c>
      <c r="I476" s="36" t="s">
        <v>34</v>
      </c>
      <c r="J476" s="36" t="s">
        <v>121</v>
      </c>
      <c r="K476" s="36" t="s">
        <v>102</v>
      </c>
      <c r="L476" s="37">
        <v>471.91</v>
      </c>
      <c r="M476" s="37">
        <v>737.25</v>
      </c>
      <c r="N476" s="37">
        <v>265.33999999999997</v>
      </c>
      <c r="O476" s="36" t="s">
        <v>103</v>
      </c>
      <c r="P476" s="36">
        <v>3</v>
      </c>
      <c r="Q476" s="41">
        <f t="shared" si="14"/>
        <v>1.5622682291114831</v>
      </c>
      <c r="R476" s="38">
        <f t="shared" si="15"/>
        <v>10</v>
      </c>
    </row>
    <row r="477" spans="1:18" x14ac:dyDescent="0.2">
      <c r="A477" s="42" t="s">
        <v>1342</v>
      </c>
      <c r="B477" s="42" t="s">
        <v>861</v>
      </c>
      <c r="C477" s="42" t="s">
        <v>862</v>
      </c>
      <c r="D477" s="43">
        <v>45804</v>
      </c>
      <c r="E477" s="42" t="s">
        <v>1343</v>
      </c>
      <c r="F477" s="42" t="s">
        <v>29</v>
      </c>
      <c r="G477" s="42" t="s">
        <v>131</v>
      </c>
      <c r="H477" s="42" t="s">
        <v>34</v>
      </c>
      <c r="I477" s="42" t="s">
        <v>34</v>
      </c>
      <c r="J477" s="42" t="s">
        <v>121</v>
      </c>
      <c r="K477" s="42" t="s">
        <v>102</v>
      </c>
      <c r="L477" s="44">
        <v>16.260000000000002</v>
      </c>
      <c r="M477" s="44">
        <v>3.81</v>
      </c>
      <c r="N477" s="44">
        <v>-12.45</v>
      </c>
      <c r="O477" s="42" t="s">
        <v>103</v>
      </c>
      <c r="P477" s="42">
        <v>0</v>
      </c>
      <c r="Q477" s="45">
        <f t="shared" si="14"/>
        <v>0.23431734317343172</v>
      </c>
      <c r="R477" s="46">
        <f t="shared" si="15"/>
        <v>0</v>
      </c>
    </row>
    <row r="478" spans="1:18" x14ac:dyDescent="0.2">
      <c r="A478" s="36" t="s">
        <v>1344</v>
      </c>
      <c r="B478" s="36" t="s">
        <v>973</v>
      </c>
      <c r="C478" s="36" t="s">
        <v>974</v>
      </c>
      <c r="D478" s="40">
        <v>46001</v>
      </c>
      <c r="E478" s="36" t="s">
        <v>1345</v>
      </c>
      <c r="F478" s="36" t="s">
        <v>19</v>
      </c>
      <c r="G478" s="36" t="s">
        <v>126</v>
      </c>
      <c r="H478" s="36" t="s">
        <v>34</v>
      </c>
      <c r="I478" s="36" t="s">
        <v>34</v>
      </c>
      <c r="J478" s="36" t="s">
        <v>121</v>
      </c>
      <c r="K478" s="36" t="s">
        <v>102</v>
      </c>
      <c r="L478" s="37">
        <v>140.82</v>
      </c>
      <c r="M478" s="37">
        <v>243.36</v>
      </c>
      <c r="N478" s="37">
        <v>102.54</v>
      </c>
      <c r="O478" s="36" t="s">
        <v>103</v>
      </c>
      <c r="P478" s="36">
        <v>2</v>
      </c>
      <c r="Q478" s="41">
        <f t="shared" si="14"/>
        <v>1.7281636131231362</v>
      </c>
      <c r="R478" s="38">
        <f t="shared" si="15"/>
        <v>10</v>
      </c>
    </row>
    <row r="479" spans="1:18" x14ac:dyDescent="0.2">
      <c r="A479" s="42" t="s">
        <v>1346</v>
      </c>
      <c r="B479" s="42" t="s">
        <v>1272</v>
      </c>
      <c r="C479" s="42" t="s">
        <v>1273</v>
      </c>
      <c r="D479" s="43">
        <v>45732</v>
      </c>
      <c r="E479" s="42" t="s">
        <v>1270</v>
      </c>
      <c r="F479" s="42" t="s">
        <v>31</v>
      </c>
      <c r="G479" s="42" t="s">
        <v>100</v>
      </c>
      <c r="H479" s="42" t="s">
        <v>34</v>
      </c>
      <c r="I479" s="42" t="s">
        <v>34</v>
      </c>
      <c r="J479" s="42" t="s">
        <v>121</v>
      </c>
      <c r="K479" s="42" t="s">
        <v>102</v>
      </c>
      <c r="L479" s="44">
        <v>394.34</v>
      </c>
      <c r="M479" s="44">
        <v>176.98</v>
      </c>
      <c r="N479" s="44">
        <v>-217.36</v>
      </c>
      <c r="O479" s="42" t="s">
        <v>103</v>
      </c>
      <c r="P479" s="42">
        <v>2</v>
      </c>
      <c r="Q479" s="45">
        <f t="shared" si="14"/>
        <v>0.4488005274636101</v>
      </c>
      <c r="R479" s="46">
        <f t="shared" si="15"/>
        <v>0</v>
      </c>
    </row>
    <row r="480" spans="1:18" x14ac:dyDescent="0.2">
      <c r="A480" s="36" t="s">
        <v>1347</v>
      </c>
      <c r="B480" s="36" t="s">
        <v>915</v>
      </c>
      <c r="C480" s="36" t="s">
        <v>916</v>
      </c>
      <c r="D480" s="40">
        <v>46074</v>
      </c>
      <c r="E480" s="36" t="s">
        <v>1348</v>
      </c>
      <c r="F480" s="36" t="s">
        <v>31</v>
      </c>
      <c r="G480" s="36" t="s">
        <v>131</v>
      </c>
      <c r="H480" s="36" t="s">
        <v>34</v>
      </c>
      <c r="I480" s="36" t="s">
        <v>34</v>
      </c>
      <c r="J480" s="36" t="s">
        <v>121</v>
      </c>
      <c r="K480" s="36" t="s">
        <v>102</v>
      </c>
      <c r="L480" s="37">
        <v>311.89</v>
      </c>
      <c r="M480" s="37">
        <v>463.52</v>
      </c>
      <c r="N480" s="37">
        <v>151.63</v>
      </c>
      <c r="O480" s="36" t="s">
        <v>103</v>
      </c>
      <c r="P480" s="36">
        <v>0</v>
      </c>
      <c r="Q480" s="41">
        <f t="shared" si="14"/>
        <v>1.4861649940684216</v>
      </c>
      <c r="R480" s="38">
        <f t="shared" si="15"/>
        <v>0</v>
      </c>
    </row>
    <row r="481" spans="1:18" x14ac:dyDescent="0.2">
      <c r="A481" s="42" t="s">
        <v>1349</v>
      </c>
      <c r="B481" s="42" t="s">
        <v>180</v>
      </c>
      <c r="C481" s="42" t="s">
        <v>181</v>
      </c>
      <c r="D481" s="43">
        <v>45989</v>
      </c>
      <c r="E481" s="42" t="s">
        <v>1131</v>
      </c>
      <c r="F481" s="42" t="s">
        <v>22</v>
      </c>
      <c r="G481" s="42" t="s">
        <v>126</v>
      </c>
      <c r="H481" s="42" t="s">
        <v>20</v>
      </c>
      <c r="I481" s="42" t="s">
        <v>20</v>
      </c>
      <c r="J481" s="42" t="s">
        <v>183</v>
      </c>
      <c r="K481" s="42" t="s">
        <v>103</v>
      </c>
      <c r="L481" s="44">
        <v>126.42</v>
      </c>
      <c r="M481" s="44">
        <v>218.13</v>
      </c>
      <c r="N481" s="44">
        <v>91.71</v>
      </c>
      <c r="O481" s="42" t="s">
        <v>103</v>
      </c>
      <c r="P481" s="42">
        <v>0</v>
      </c>
      <c r="Q481" s="45">
        <f t="shared" si="14"/>
        <v>1.7254390128144281</v>
      </c>
      <c r="R481" s="46">
        <f t="shared" si="15"/>
        <v>30</v>
      </c>
    </row>
    <row r="482" spans="1:18" x14ac:dyDescent="0.2">
      <c r="A482" s="36" t="s">
        <v>1350</v>
      </c>
      <c r="B482" s="36" t="s">
        <v>650</v>
      </c>
      <c r="C482" s="36" t="s">
        <v>651</v>
      </c>
      <c r="D482" s="40">
        <v>46012</v>
      </c>
      <c r="E482" s="36" t="s">
        <v>1351</v>
      </c>
      <c r="F482" s="36" t="s">
        <v>22</v>
      </c>
      <c r="G482" s="36" t="s">
        <v>126</v>
      </c>
      <c r="H482" s="36" t="s">
        <v>23</v>
      </c>
      <c r="I482" s="36" t="s">
        <v>23</v>
      </c>
      <c r="J482" s="36" t="s">
        <v>101</v>
      </c>
      <c r="K482" s="36" t="s">
        <v>102</v>
      </c>
      <c r="L482" s="37">
        <v>463.98</v>
      </c>
      <c r="M482" s="37">
        <v>395.6</v>
      </c>
      <c r="N482" s="37">
        <v>-68.38</v>
      </c>
      <c r="O482" s="36" t="s">
        <v>103</v>
      </c>
      <c r="P482" s="36">
        <v>2</v>
      </c>
      <c r="Q482" s="41">
        <f t="shared" si="14"/>
        <v>0.85262295788611575</v>
      </c>
      <c r="R482" s="38">
        <f t="shared" si="15"/>
        <v>10</v>
      </c>
    </row>
    <row r="483" spans="1:18" x14ac:dyDescent="0.2">
      <c r="A483" s="42" t="s">
        <v>1352</v>
      </c>
      <c r="B483" s="42" t="s">
        <v>468</v>
      </c>
      <c r="C483" s="42" t="s">
        <v>469</v>
      </c>
      <c r="D483" s="43">
        <v>45940</v>
      </c>
      <c r="E483" s="42" t="s">
        <v>1243</v>
      </c>
      <c r="F483" s="42" t="s">
        <v>22</v>
      </c>
      <c r="G483" s="42" t="s">
        <v>114</v>
      </c>
      <c r="H483" s="42" t="s">
        <v>28</v>
      </c>
      <c r="I483" s="42" t="s">
        <v>28</v>
      </c>
      <c r="J483" s="42" t="s">
        <v>109</v>
      </c>
      <c r="K483" s="42" t="s">
        <v>103</v>
      </c>
      <c r="L483" s="44">
        <v>374.4</v>
      </c>
      <c r="M483" s="44">
        <v>167.28</v>
      </c>
      <c r="N483" s="44">
        <v>-207.12</v>
      </c>
      <c r="O483" s="42" t="s">
        <v>103</v>
      </c>
      <c r="P483" s="42">
        <v>0</v>
      </c>
      <c r="Q483" s="45">
        <f t="shared" si="14"/>
        <v>0.44679487179487182</v>
      </c>
      <c r="R483" s="46">
        <f t="shared" si="15"/>
        <v>20</v>
      </c>
    </row>
    <row r="484" spans="1:18" x14ac:dyDescent="0.2">
      <c r="A484" s="36" t="s">
        <v>1353</v>
      </c>
      <c r="B484" s="36" t="s">
        <v>521</v>
      </c>
      <c r="C484" s="36" t="s">
        <v>522</v>
      </c>
      <c r="D484" s="40">
        <v>45982</v>
      </c>
      <c r="E484" s="36" t="s">
        <v>632</v>
      </c>
      <c r="F484" s="36" t="s">
        <v>31</v>
      </c>
      <c r="G484" s="36" t="s">
        <v>126</v>
      </c>
      <c r="H484" s="36" t="s">
        <v>34</v>
      </c>
      <c r="I484" s="36" t="s">
        <v>34</v>
      </c>
      <c r="J484" s="36" t="s">
        <v>152</v>
      </c>
      <c r="K484" s="36" t="s">
        <v>103</v>
      </c>
      <c r="L484" s="37">
        <v>327.33999999999997</v>
      </c>
      <c r="M484" s="37">
        <v>543.79</v>
      </c>
      <c r="N484" s="37">
        <v>216.45</v>
      </c>
      <c r="O484" s="36" t="s">
        <v>103</v>
      </c>
      <c r="P484" s="36">
        <v>2</v>
      </c>
      <c r="Q484" s="41">
        <f t="shared" si="14"/>
        <v>1.6612390786338365</v>
      </c>
      <c r="R484" s="38">
        <f t="shared" si="15"/>
        <v>30</v>
      </c>
    </row>
    <row r="485" spans="1:18" x14ac:dyDescent="0.2">
      <c r="A485" s="42" t="s">
        <v>1354</v>
      </c>
      <c r="B485" s="42" t="s">
        <v>240</v>
      </c>
      <c r="C485" s="42" t="s">
        <v>241</v>
      </c>
      <c r="D485" s="43">
        <v>45758</v>
      </c>
      <c r="E485" s="42" t="s">
        <v>1355</v>
      </c>
      <c r="F485" s="42" t="s">
        <v>27</v>
      </c>
      <c r="G485" s="42" t="s">
        <v>100</v>
      </c>
      <c r="H485" s="42" t="s">
        <v>28</v>
      </c>
      <c r="I485" s="42" t="s">
        <v>28</v>
      </c>
      <c r="J485" s="42" t="s">
        <v>109</v>
      </c>
      <c r="K485" s="42" t="s">
        <v>102</v>
      </c>
      <c r="L485" s="44">
        <v>154.15</v>
      </c>
      <c r="M485" s="44">
        <v>60.17</v>
      </c>
      <c r="N485" s="44">
        <v>-93.98</v>
      </c>
      <c r="O485" s="42" t="s">
        <v>103</v>
      </c>
      <c r="P485" s="42">
        <v>0</v>
      </c>
      <c r="Q485" s="45">
        <f t="shared" si="14"/>
        <v>0.39033409017191045</v>
      </c>
      <c r="R485" s="46">
        <f t="shared" si="15"/>
        <v>0</v>
      </c>
    </row>
    <row r="486" spans="1:18" x14ac:dyDescent="0.2">
      <c r="A486" s="36" t="s">
        <v>1356</v>
      </c>
      <c r="B486" s="36" t="s">
        <v>669</v>
      </c>
      <c r="C486" s="36" t="s">
        <v>670</v>
      </c>
      <c r="D486" s="40">
        <v>45746</v>
      </c>
      <c r="E486" s="36" t="s">
        <v>1357</v>
      </c>
      <c r="F486" s="36" t="s">
        <v>19</v>
      </c>
      <c r="G486" s="36" t="s">
        <v>108</v>
      </c>
      <c r="H486" s="36" t="s">
        <v>30</v>
      </c>
      <c r="I486" s="36" t="s">
        <v>30</v>
      </c>
      <c r="J486" s="36" t="s">
        <v>143</v>
      </c>
      <c r="K486" s="36" t="s">
        <v>102</v>
      </c>
      <c r="L486" s="37">
        <v>68.48</v>
      </c>
      <c r="M486" s="37">
        <v>6.12</v>
      </c>
      <c r="N486" s="37">
        <v>-62.36</v>
      </c>
      <c r="O486" s="36" t="s">
        <v>103</v>
      </c>
      <c r="P486" s="36">
        <v>3</v>
      </c>
      <c r="Q486" s="41">
        <f t="shared" si="14"/>
        <v>8.9369158878504676E-2</v>
      </c>
      <c r="R486" s="38">
        <f t="shared" si="15"/>
        <v>0</v>
      </c>
    </row>
    <row r="487" spans="1:18" x14ac:dyDescent="0.2">
      <c r="A487" s="42" t="s">
        <v>1358</v>
      </c>
      <c r="B487" s="42" t="s">
        <v>216</v>
      </c>
      <c r="C487" s="42" t="s">
        <v>217</v>
      </c>
      <c r="D487" s="43">
        <v>45724</v>
      </c>
      <c r="E487" s="42" t="s">
        <v>1359</v>
      </c>
      <c r="F487" s="42" t="s">
        <v>29</v>
      </c>
      <c r="G487" s="42" t="s">
        <v>126</v>
      </c>
      <c r="H487" s="42" t="s">
        <v>34</v>
      </c>
      <c r="I487" s="42" t="s">
        <v>34</v>
      </c>
      <c r="J487" s="42" t="s">
        <v>121</v>
      </c>
      <c r="K487" s="42" t="s">
        <v>102</v>
      </c>
      <c r="L487" s="44">
        <v>424.55</v>
      </c>
      <c r="M487" s="44">
        <v>5.27</v>
      </c>
      <c r="N487" s="44">
        <v>-419.28</v>
      </c>
      <c r="O487" s="42" t="s">
        <v>103</v>
      </c>
      <c r="P487" s="42">
        <v>0</v>
      </c>
      <c r="Q487" s="45">
        <f t="shared" si="14"/>
        <v>1.2413143328229889E-2</v>
      </c>
      <c r="R487" s="46">
        <f t="shared" si="15"/>
        <v>10</v>
      </c>
    </row>
    <row r="488" spans="1:18" x14ac:dyDescent="0.2">
      <c r="A488" s="36" t="s">
        <v>1360</v>
      </c>
      <c r="B488" s="36" t="s">
        <v>252</v>
      </c>
      <c r="C488" s="36" t="s">
        <v>253</v>
      </c>
      <c r="D488" s="40">
        <v>45678</v>
      </c>
      <c r="E488" s="36" t="s">
        <v>1361</v>
      </c>
      <c r="F488" s="36" t="s">
        <v>27</v>
      </c>
      <c r="G488" s="36" t="s">
        <v>108</v>
      </c>
      <c r="H488" s="36" t="s">
        <v>34</v>
      </c>
      <c r="I488" s="36" t="s">
        <v>34</v>
      </c>
      <c r="J488" s="36" t="s">
        <v>152</v>
      </c>
      <c r="K488" s="36" t="s">
        <v>103</v>
      </c>
      <c r="L488" s="37">
        <v>168.09</v>
      </c>
      <c r="M488" s="37">
        <v>18.809999999999999</v>
      </c>
      <c r="N488" s="37">
        <v>-149.28</v>
      </c>
      <c r="O488" s="36" t="s">
        <v>103</v>
      </c>
      <c r="P488" s="36">
        <v>2</v>
      </c>
      <c r="Q488" s="41">
        <f t="shared" si="14"/>
        <v>0.11190433696234159</v>
      </c>
      <c r="R488" s="38">
        <f t="shared" si="15"/>
        <v>20</v>
      </c>
    </row>
    <row r="489" spans="1:18" x14ac:dyDescent="0.2">
      <c r="A489" s="42" t="s">
        <v>1362</v>
      </c>
      <c r="B489" s="42" t="s">
        <v>376</v>
      </c>
      <c r="C489" s="42" t="s">
        <v>377</v>
      </c>
      <c r="D489" s="43">
        <v>45812</v>
      </c>
      <c r="E489" s="42" t="s">
        <v>1363</v>
      </c>
      <c r="F489" s="42" t="s">
        <v>22</v>
      </c>
      <c r="G489" s="42" t="s">
        <v>126</v>
      </c>
      <c r="H489" s="42" t="s">
        <v>30</v>
      </c>
      <c r="I489" s="42" t="s">
        <v>30</v>
      </c>
      <c r="J489" s="42" t="s">
        <v>143</v>
      </c>
      <c r="K489" s="42" t="s">
        <v>102</v>
      </c>
      <c r="L489" s="44">
        <v>290.61</v>
      </c>
      <c r="M489" s="44">
        <v>228.94</v>
      </c>
      <c r="N489" s="44">
        <v>-61.67</v>
      </c>
      <c r="O489" s="42" t="s">
        <v>103</v>
      </c>
      <c r="P489" s="42">
        <v>0</v>
      </c>
      <c r="Q489" s="45">
        <f t="shared" si="14"/>
        <v>0.78779119782526408</v>
      </c>
      <c r="R489" s="46">
        <f t="shared" si="15"/>
        <v>10</v>
      </c>
    </row>
    <row r="490" spans="1:18" x14ac:dyDescent="0.2">
      <c r="A490" s="36" t="s">
        <v>1364</v>
      </c>
      <c r="B490" s="36" t="s">
        <v>56</v>
      </c>
      <c r="C490" s="36" t="s">
        <v>57</v>
      </c>
      <c r="D490" s="40">
        <v>45927</v>
      </c>
      <c r="E490" s="36" t="s">
        <v>1365</v>
      </c>
      <c r="F490" s="36" t="s">
        <v>25</v>
      </c>
      <c r="G490" s="36" t="s">
        <v>120</v>
      </c>
      <c r="H490" s="36" t="s">
        <v>34</v>
      </c>
      <c r="I490" s="36" t="s">
        <v>30</v>
      </c>
      <c r="J490" s="36" t="s">
        <v>143</v>
      </c>
      <c r="K490" s="36" t="s">
        <v>102</v>
      </c>
      <c r="L490" s="37">
        <v>4368.16</v>
      </c>
      <c r="M490" s="37">
        <v>14196.51</v>
      </c>
      <c r="N490" s="37">
        <v>9828.35</v>
      </c>
      <c r="O490" s="36" t="s">
        <v>318</v>
      </c>
      <c r="P490" s="36">
        <v>0</v>
      </c>
      <c r="Q490" s="41">
        <f t="shared" si="14"/>
        <v>3.2499977107065678</v>
      </c>
      <c r="R490" s="38">
        <f t="shared" si="15"/>
        <v>70</v>
      </c>
    </row>
    <row r="491" spans="1:18" x14ac:dyDescent="0.2">
      <c r="A491" s="42" t="s">
        <v>1366</v>
      </c>
      <c r="B491" s="42" t="s">
        <v>1208</v>
      </c>
      <c r="C491" s="42" t="s">
        <v>1209</v>
      </c>
      <c r="D491" s="43">
        <v>45767</v>
      </c>
      <c r="E491" s="42" t="s">
        <v>1367</v>
      </c>
      <c r="F491" s="42" t="s">
        <v>22</v>
      </c>
      <c r="G491" s="42" t="s">
        <v>108</v>
      </c>
      <c r="H491" s="42" t="s">
        <v>32</v>
      </c>
      <c r="I491" s="42" t="s">
        <v>32</v>
      </c>
      <c r="J491" s="42" t="s">
        <v>132</v>
      </c>
      <c r="K491" s="42" t="s">
        <v>102</v>
      </c>
      <c r="L491" s="44">
        <v>172.22</v>
      </c>
      <c r="M491" s="44">
        <v>111.23</v>
      </c>
      <c r="N491" s="44">
        <v>-60.99</v>
      </c>
      <c r="O491" s="42" t="s">
        <v>103</v>
      </c>
      <c r="P491" s="42">
        <v>0</v>
      </c>
      <c r="Q491" s="45">
        <f t="shared" si="14"/>
        <v>0.64585994657995593</v>
      </c>
      <c r="R491" s="46">
        <f t="shared" si="15"/>
        <v>0</v>
      </c>
    </row>
    <row r="492" spans="1:18" x14ac:dyDescent="0.2">
      <c r="A492" s="36" t="s">
        <v>1368</v>
      </c>
      <c r="B492" s="36" t="s">
        <v>751</v>
      </c>
      <c r="C492" s="36" t="s">
        <v>752</v>
      </c>
      <c r="D492" s="40">
        <v>45901</v>
      </c>
      <c r="E492" s="36" t="s">
        <v>1369</v>
      </c>
      <c r="F492" s="36" t="s">
        <v>25</v>
      </c>
      <c r="G492" s="36" t="s">
        <v>126</v>
      </c>
      <c r="H492" s="36" t="s">
        <v>34</v>
      </c>
      <c r="I492" s="36" t="s">
        <v>34</v>
      </c>
      <c r="J492" s="36" t="s">
        <v>121</v>
      </c>
      <c r="K492" s="36" t="s">
        <v>102</v>
      </c>
      <c r="L492" s="37">
        <v>378.55</v>
      </c>
      <c r="M492" s="37">
        <v>540.74</v>
      </c>
      <c r="N492" s="37">
        <v>162.19</v>
      </c>
      <c r="O492" s="36" t="s">
        <v>103</v>
      </c>
      <c r="P492" s="36">
        <v>0</v>
      </c>
      <c r="Q492" s="41">
        <f t="shared" si="14"/>
        <v>1.4284506670188879</v>
      </c>
      <c r="R492" s="38">
        <f t="shared" si="15"/>
        <v>10</v>
      </c>
    </row>
    <row r="493" spans="1:18" x14ac:dyDescent="0.2">
      <c r="A493" s="42" t="s">
        <v>1370</v>
      </c>
      <c r="B493" s="42" t="s">
        <v>535</v>
      </c>
      <c r="C493" s="42" t="s">
        <v>536</v>
      </c>
      <c r="D493" s="43">
        <v>45886</v>
      </c>
      <c r="E493" s="42" t="s">
        <v>1371</v>
      </c>
      <c r="F493" s="42" t="s">
        <v>33</v>
      </c>
      <c r="G493" s="42" t="s">
        <v>100</v>
      </c>
      <c r="H493" s="42" t="s">
        <v>28</v>
      </c>
      <c r="I493" s="42" t="s">
        <v>28</v>
      </c>
      <c r="J493" s="42" t="s">
        <v>109</v>
      </c>
      <c r="K493" s="42" t="s">
        <v>102</v>
      </c>
      <c r="L493" s="44">
        <v>324.70999999999998</v>
      </c>
      <c r="M493" s="44">
        <v>656.22</v>
      </c>
      <c r="N493" s="44">
        <v>331.51</v>
      </c>
      <c r="O493" s="42" t="s">
        <v>103</v>
      </c>
      <c r="P493" s="42">
        <v>0</v>
      </c>
      <c r="Q493" s="45">
        <f t="shared" si="14"/>
        <v>2.0209417634196671</v>
      </c>
      <c r="R493" s="46">
        <f t="shared" si="15"/>
        <v>10</v>
      </c>
    </row>
    <row r="494" spans="1:18" x14ac:dyDescent="0.2">
      <c r="A494" s="36" t="s">
        <v>1372</v>
      </c>
      <c r="B494" s="36" t="s">
        <v>336</v>
      </c>
      <c r="C494" s="36" t="s">
        <v>337</v>
      </c>
      <c r="D494" s="40">
        <v>45822</v>
      </c>
      <c r="E494" s="36" t="s">
        <v>1373</v>
      </c>
      <c r="F494" s="36" t="s">
        <v>19</v>
      </c>
      <c r="G494" s="36" t="s">
        <v>108</v>
      </c>
      <c r="H494" s="36" t="s">
        <v>34</v>
      </c>
      <c r="I494" s="36" t="s">
        <v>34</v>
      </c>
      <c r="J494" s="36" t="s">
        <v>121</v>
      </c>
      <c r="K494" s="36" t="s">
        <v>103</v>
      </c>
      <c r="L494" s="37">
        <v>400.14</v>
      </c>
      <c r="M494" s="37">
        <v>99.8</v>
      </c>
      <c r="N494" s="37">
        <v>-300.33999999999997</v>
      </c>
      <c r="O494" s="36" t="s">
        <v>103</v>
      </c>
      <c r="P494" s="36">
        <v>0</v>
      </c>
      <c r="Q494" s="41">
        <f t="shared" si="14"/>
        <v>0.24941270555305642</v>
      </c>
      <c r="R494" s="38">
        <f t="shared" si="15"/>
        <v>20</v>
      </c>
    </row>
    <row r="495" spans="1:18" x14ac:dyDescent="0.2">
      <c r="A495" s="42" t="s">
        <v>1374</v>
      </c>
      <c r="B495" s="42" t="s">
        <v>158</v>
      </c>
      <c r="C495" s="42" t="s">
        <v>159</v>
      </c>
      <c r="D495" s="43">
        <v>45802</v>
      </c>
      <c r="E495" s="42" t="s">
        <v>1375</v>
      </c>
      <c r="F495" s="42" t="s">
        <v>31</v>
      </c>
      <c r="G495" s="42" t="s">
        <v>108</v>
      </c>
      <c r="H495" s="42" t="s">
        <v>28</v>
      </c>
      <c r="I495" s="42" t="s">
        <v>28</v>
      </c>
      <c r="J495" s="42" t="s">
        <v>109</v>
      </c>
      <c r="K495" s="42" t="s">
        <v>102</v>
      </c>
      <c r="L495" s="44">
        <v>263.27</v>
      </c>
      <c r="M495" s="44">
        <v>446.27</v>
      </c>
      <c r="N495" s="44">
        <v>183</v>
      </c>
      <c r="O495" s="42" t="s">
        <v>103</v>
      </c>
      <c r="P495" s="42">
        <v>0</v>
      </c>
      <c r="Q495" s="45">
        <f t="shared" si="14"/>
        <v>1.6951038857446727</v>
      </c>
      <c r="R495" s="46">
        <f t="shared" si="15"/>
        <v>0</v>
      </c>
    </row>
    <row r="496" spans="1:18" x14ac:dyDescent="0.2">
      <c r="A496" s="36" t="s">
        <v>1376</v>
      </c>
      <c r="B496" s="36" t="s">
        <v>220</v>
      </c>
      <c r="C496" s="36" t="s">
        <v>221</v>
      </c>
      <c r="D496" s="40">
        <v>45907</v>
      </c>
      <c r="E496" s="36" t="s">
        <v>1377</v>
      </c>
      <c r="F496" s="36" t="s">
        <v>31</v>
      </c>
      <c r="G496" s="36" t="s">
        <v>100</v>
      </c>
      <c r="H496" s="36" t="s">
        <v>30</v>
      </c>
      <c r="I496" s="36" t="s">
        <v>30</v>
      </c>
      <c r="J496" s="36" t="s">
        <v>143</v>
      </c>
      <c r="K496" s="36" t="s">
        <v>102</v>
      </c>
      <c r="L496" s="37">
        <v>450.16</v>
      </c>
      <c r="M496" s="37">
        <v>190.66</v>
      </c>
      <c r="N496" s="37">
        <v>-259.5</v>
      </c>
      <c r="O496" s="36" t="s">
        <v>103</v>
      </c>
      <c r="P496" s="36">
        <v>0</v>
      </c>
      <c r="Q496" s="41">
        <f t="shared" si="14"/>
        <v>0.42353829749422423</v>
      </c>
      <c r="R496" s="38">
        <f t="shared" si="15"/>
        <v>0</v>
      </c>
    </row>
    <row r="497" spans="1:18" x14ac:dyDescent="0.2">
      <c r="A497" s="42" t="s">
        <v>1378</v>
      </c>
      <c r="B497" s="42" t="s">
        <v>882</v>
      </c>
      <c r="C497" s="42" t="s">
        <v>883</v>
      </c>
      <c r="D497" s="43">
        <v>45743</v>
      </c>
      <c r="E497" s="42" t="s">
        <v>1004</v>
      </c>
      <c r="F497" s="42" t="s">
        <v>27</v>
      </c>
      <c r="G497" s="42" t="s">
        <v>126</v>
      </c>
      <c r="H497" s="42" t="s">
        <v>34</v>
      </c>
      <c r="I497" s="42" t="s">
        <v>34</v>
      </c>
      <c r="J497" s="42" t="s">
        <v>121</v>
      </c>
      <c r="K497" s="42" t="s">
        <v>102</v>
      </c>
      <c r="L497" s="44">
        <v>13.59</v>
      </c>
      <c r="M497" s="44">
        <v>1.96</v>
      </c>
      <c r="N497" s="44">
        <v>-11.63</v>
      </c>
      <c r="O497" s="42" t="s">
        <v>103</v>
      </c>
      <c r="P497" s="42">
        <v>0</v>
      </c>
      <c r="Q497" s="45">
        <f t="shared" si="14"/>
        <v>0.14422369389256806</v>
      </c>
      <c r="R497" s="46">
        <f t="shared" si="15"/>
        <v>10</v>
      </c>
    </row>
    <row r="498" spans="1:18" x14ac:dyDescent="0.2">
      <c r="A498" s="36" t="s">
        <v>1379</v>
      </c>
      <c r="B498" s="36" t="s">
        <v>73</v>
      </c>
      <c r="C498" s="36" t="s">
        <v>74</v>
      </c>
      <c r="D498" s="40">
        <v>45767</v>
      </c>
      <c r="E498" s="36" t="s">
        <v>741</v>
      </c>
      <c r="F498" s="36" t="s">
        <v>22</v>
      </c>
      <c r="G498" s="36" t="s">
        <v>126</v>
      </c>
      <c r="H498" s="36" t="s">
        <v>34</v>
      </c>
      <c r="I498" s="36" t="s">
        <v>34</v>
      </c>
      <c r="J498" s="36" t="s">
        <v>115</v>
      </c>
      <c r="K498" s="36" t="s">
        <v>103</v>
      </c>
      <c r="L498" s="37">
        <v>419.48</v>
      </c>
      <c r="M498" s="37">
        <v>189.72</v>
      </c>
      <c r="N498" s="37">
        <v>-229.76</v>
      </c>
      <c r="O498" s="36" t="s">
        <v>103</v>
      </c>
      <c r="P498" s="36">
        <v>0</v>
      </c>
      <c r="Q498" s="41">
        <f t="shared" si="14"/>
        <v>0.45227424430246971</v>
      </c>
      <c r="R498" s="38">
        <f t="shared" si="15"/>
        <v>30</v>
      </c>
    </row>
    <row r="499" spans="1:18" x14ac:dyDescent="0.2">
      <c r="A499" s="42" t="s">
        <v>1380</v>
      </c>
      <c r="B499" s="42" t="s">
        <v>654</v>
      </c>
      <c r="C499" s="42" t="s">
        <v>655</v>
      </c>
      <c r="D499" s="43">
        <v>46054</v>
      </c>
      <c r="E499" s="42" t="s">
        <v>1381</v>
      </c>
      <c r="F499" s="42" t="s">
        <v>27</v>
      </c>
      <c r="G499" s="42" t="s">
        <v>131</v>
      </c>
      <c r="H499" s="42" t="s">
        <v>30</v>
      </c>
      <c r="I499" s="42" t="s">
        <v>30</v>
      </c>
      <c r="J499" s="42" t="s">
        <v>143</v>
      </c>
      <c r="K499" s="42" t="s">
        <v>102</v>
      </c>
      <c r="L499" s="44">
        <v>410.21</v>
      </c>
      <c r="M499" s="44">
        <v>65.09</v>
      </c>
      <c r="N499" s="44">
        <v>-345.12</v>
      </c>
      <c r="O499" s="42" t="s">
        <v>103</v>
      </c>
      <c r="P499" s="42">
        <v>0</v>
      </c>
      <c r="Q499" s="45">
        <f t="shared" si="14"/>
        <v>0.15867482508958827</v>
      </c>
      <c r="R499" s="46">
        <f t="shared" si="15"/>
        <v>0</v>
      </c>
    </row>
    <row r="500" spans="1:18" x14ac:dyDescent="0.2">
      <c r="A500" s="36" t="s">
        <v>1382</v>
      </c>
      <c r="B500" s="36" t="s">
        <v>54</v>
      </c>
      <c r="C500" s="36" t="s">
        <v>55</v>
      </c>
      <c r="D500" s="40">
        <v>45893</v>
      </c>
      <c r="E500" s="36" t="s">
        <v>598</v>
      </c>
      <c r="F500" s="36" t="s">
        <v>31</v>
      </c>
      <c r="G500" s="36" t="s">
        <v>100</v>
      </c>
      <c r="H500" s="36" t="s">
        <v>34</v>
      </c>
      <c r="I500" s="36" t="s">
        <v>23</v>
      </c>
      <c r="J500" s="36" t="s">
        <v>101</v>
      </c>
      <c r="K500" s="36" t="s">
        <v>102</v>
      </c>
      <c r="L500" s="37">
        <v>1004.69</v>
      </c>
      <c r="M500" s="37">
        <v>3962.88</v>
      </c>
      <c r="N500" s="37">
        <v>2958.19</v>
      </c>
      <c r="O500" s="36" t="s">
        <v>318</v>
      </c>
      <c r="P500" s="36">
        <v>0</v>
      </c>
      <c r="Q500" s="41">
        <f t="shared" si="14"/>
        <v>3.9443808537956979</v>
      </c>
      <c r="R500" s="38">
        <f t="shared" si="15"/>
        <v>70</v>
      </c>
    </row>
    <row r="501" spans="1:18" x14ac:dyDescent="0.2">
      <c r="A501" s="42" t="s">
        <v>1383</v>
      </c>
      <c r="B501" s="42" t="s">
        <v>311</v>
      </c>
      <c r="C501" s="42" t="s">
        <v>312</v>
      </c>
      <c r="D501" s="43">
        <v>46078</v>
      </c>
      <c r="E501" s="42" t="s">
        <v>1384</v>
      </c>
      <c r="F501" s="42" t="s">
        <v>27</v>
      </c>
      <c r="G501" s="42" t="s">
        <v>114</v>
      </c>
      <c r="H501" s="42" t="s">
        <v>30</v>
      </c>
      <c r="I501" s="42" t="s">
        <v>30</v>
      </c>
      <c r="J501" s="42" t="s">
        <v>143</v>
      </c>
      <c r="K501" s="42" t="s">
        <v>102</v>
      </c>
      <c r="L501" s="44">
        <v>136.74</v>
      </c>
      <c r="M501" s="44">
        <v>116.73</v>
      </c>
      <c r="N501" s="44">
        <v>-20.010000000000002</v>
      </c>
      <c r="O501" s="42" t="s">
        <v>103</v>
      </c>
      <c r="P501" s="42">
        <v>0</v>
      </c>
      <c r="Q501" s="45">
        <f t="shared" si="14"/>
        <v>0.85366388767003065</v>
      </c>
      <c r="R501" s="46">
        <f t="shared" si="15"/>
        <v>0</v>
      </c>
    </row>
  </sheetData>
  <autoFilter ref="A1:R1" xr:uid="{00000000-0009-0000-0000-000001000000}"/>
  <mergeCells count="1">
    <mergeCell ref="S3:AC25"/>
  </mergeCells>
  <conditionalFormatting sqref="O2:O501">
    <cfRule type="cellIs" dxfId="1" priority="3" operator="equal">
      <formula>"YES"</formula>
    </cfRule>
  </conditionalFormatting>
  <conditionalFormatting sqref="R2:R501">
    <cfRule type="colorScale" priority="2">
      <colorScale>
        <cfvo type="num" val="0"/>
        <cfvo type="num" val="40"/>
        <cfvo type="num" val="80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Z201"/>
  <sheetViews>
    <sheetView zoomScaleNormal="100" workbookViewId="0">
      <pane ySplit="1" topLeftCell="A2" activePane="bottomLeft" state="frozen"/>
      <selection pane="bottomLeft" activeCell="O29" sqref="O29"/>
    </sheetView>
  </sheetViews>
  <sheetFormatPr baseColWidth="10" defaultColWidth="8.6640625" defaultRowHeight="15" x14ac:dyDescent="0.2"/>
  <cols>
    <col min="1" max="2" width="12" customWidth="1"/>
    <col min="3" max="3" width="14" customWidth="1"/>
    <col min="4" max="4" width="12" customWidth="1"/>
    <col min="5" max="5" width="18" customWidth="1"/>
    <col min="6" max="6" width="14" customWidth="1"/>
    <col min="7" max="7" width="12" customWidth="1"/>
    <col min="8" max="9" width="16" customWidth="1"/>
    <col min="10" max="10" width="18" customWidth="1"/>
    <col min="11" max="11" width="12" customWidth="1"/>
    <col min="12" max="12" width="18" customWidth="1"/>
    <col min="13" max="13" width="10" customWidth="1"/>
    <col min="14" max="14" width="13" customWidth="1"/>
  </cols>
  <sheetData>
    <row r="1" spans="1:26" ht="27.75" customHeight="1" x14ac:dyDescent="0.2">
      <c r="A1" s="39" t="s">
        <v>1385</v>
      </c>
      <c r="B1" s="39" t="s">
        <v>36</v>
      </c>
      <c r="C1" s="39" t="s">
        <v>37</v>
      </c>
      <c r="D1" s="39" t="s">
        <v>83</v>
      </c>
      <c r="E1" s="39" t="s">
        <v>1386</v>
      </c>
      <c r="F1" s="39" t="s">
        <v>86</v>
      </c>
      <c r="G1" s="39" t="s">
        <v>88</v>
      </c>
      <c r="H1" s="39" t="s">
        <v>1387</v>
      </c>
      <c r="I1" s="39" t="s">
        <v>1388</v>
      </c>
      <c r="J1" s="39" t="s">
        <v>1389</v>
      </c>
      <c r="K1" s="39" t="s">
        <v>1390</v>
      </c>
      <c r="L1" s="39" t="s">
        <v>1391</v>
      </c>
      <c r="M1" s="39" t="s">
        <v>93</v>
      </c>
      <c r="N1" s="39" t="s">
        <v>1392</v>
      </c>
    </row>
    <row r="2" spans="1:26" x14ac:dyDescent="0.2">
      <c r="A2" s="36" t="s">
        <v>1393</v>
      </c>
      <c r="B2" s="36" t="s">
        <v>294</v>
      </c>
      <c r="C2" s="36" t="s">
        <v>295</v>
      </c>
      <c r="D2" s="40">
        <v>45819</v>
      </c>
      <c r="E2" s="36" t="s">
        <v>1394</v>
      </c>
      <c r="F2" s="36" t="s">
        <v>30</v>
      </c>
      <c r="G2" s="36" t="s">
        <v>102</v>
      </c>
      <c r="H2" s="37">
        <v>24.73</v>
      </c>
      <c r="I2" s="37">
        <v>64.739999999999995</v>
      </c>
      <c r="J2" s="37">
        <v>5.29</v>
      </c>
      <c r="K2" s="41">
        <v>2.62</v>
      </c>
      <c r="L2" s="36" t="s">
        <v>103</v>
      </c>
      <c r="M2" s="36">
        <v>0</v>
      </c>
      <c r="N2" s="38">
        <f t="shared" ref="N2:N33" si="0">IF(L2="YES",35,0)+IF(K2&lt;0.5,30,IF(K2&lt;1,15,0))+IF(G2="No",20,0)+IF(J2/H2&gt;0.6,15,0)</f>
        <v>0</v>
      </c>
      <c r="O2" s="74" t="s">
        <v>1633</v>
      </c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x14ac:dyDescent="0.2">
      <c r="A3" s="42" t="s">
        <v>1395</v>
      </c>
      <c r="B3" s="42" t="s">
        <v>244</v>
      </c>
      <c r="C3" s="42" t="s">
        <v>245</v>
      </c>
      <c r="D3" s="43">
        <v>45974</v>
      </c>
      <c r="E3" s="42" t="s">
        <v>1396</v>
      </c>
      <c r="F3" s="42" t="s">
        <v>34</v>
      </c>
      <c r="G3" s="42" t="s">
        <v>103</v>
      </c>
      <c r="H3" s="44">
        <v>37.71</v>
      </c>
      <c r="I3" s="44">
        <v>106.12</v>
      </c>
      <c r="J3" s="44">
        <v>0.69</v>
      </c>
      <c r="K3" s="45">
        <v>2.81</v>
      </c>
      <c r="L3" s="42" t="s">
        <v>103</v>
      </c>
      <c r="M3" s="42">
        <v>0</v>
      </c>
      <c r="N3" s="46">
        <f t="shared" si="0"/>
        <v>20</v>
      </c>
      <c r="O3" s="76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x14ac:dyDescent="0.2">
      <c r="A4" s="36" t="s">
        <v>1397</v>
      </c>
      <c r="B4" s="36" t="s">
        <v>307</v>
      </c>
      <c r="C4" s="36" t="s">
        <v>308</v>
      </c>
      <c r="D4" s="40">
        <v>45841</v>
      </c>
      <c r="E4" s="36" t="s">
        <v>1398</v>
      </c>
      <c r="F4" s="36" t="s">
        <v>26</v>
      </c>
      <c r="G4" s="36" t="s">
        <v>102</v>
      </c>
      <c r="H4" s="37">
        <v>279.85000000000002</v>
      </c>
      <c r="I4" s="37">
        <v>304.08</v>
      </c>
      <c r="J4" s="37">
        <v>88.08</v>
      </c>
      <c r="K4" s="41">
        <v>1.0900000000000001</v>
      </c>
      <c r="L4" s="36" t="s">
        <v>103</v>
      </c>
      <c r="M4" s="36">
        <v>0</v>
      </c>
      <c r="N4" s="38">
        <f t="shared" si="0"/>
        <v>0</v>
      </c>
      <c r="O4" s="76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x14ac:dyDescent="0.2">
      <c r="A5" s="42" t="s">
        <v>1399</v>
      </c>
      <c r="B5" s="42" t="s">
        <v>134</v>
      </c>
      <c r="C5" s="42" t="s">
        <v>135</v>
      </c>
      <c r="D5" s="43">
        <v>45702</v>
      </c>
      <c r="E5" s="42" t="s">
        <v>1396</v>
      </c>
      <c r="F5" s="42" t="s">
        <v>34</v>
      </c>
      <c r="G5" s="42" t="s">
        <v>102</v>
      </c>
      <c r="H5" s="44">
        <v>98.82</v>
      </c>
      <c r="I5" s="44">
        <v>326.31</v>
      </c>
      <c r="J5" s="44">
        <v>15.08</v>
      </c>
      <c r="K5" s="45">
        <v>3.3</v>
      </c>
      <c r="L5" s="42" t="s">
        <v>103</v>
      </c>
      <c r="M5" s="42">
        <v>0</v>
      </c>
      <c r="N5" s="46">
        <f t="shared" si="0"/>
        <v>0</v>
      </c>
      <c r="O5" s="76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x14ac:dyDescent="0.2">
      <c r="A6" s="36" t="s">
        <v>1400</v>
      </c>
      <c r="B6" s="36" t="s">
        <v>376</v>
      </c>
      <c r="C6" s="36" t="s">
        <v>377</v>
      </c>
      <c r="D6" s="40">
        <v>45673</v>
      </c>
      <c r="E6" s="36" t="s">
        <v>1401</v>
      </c>
      <c r="F6" s="36" t="s">
        <v>30</v>
      </c>
      <c r="G6" s="36" t="s">
        <v>102</v>
      </c>
      <c r="H6" s="37">
        <v>152.72</v>
      </c>
      <c r="I6" s="37">
        <v>342.15</v>
      </c>
      <c r="J6" s="37">
        <v>8.33</v>
      </c>
      <c r="K6" s="41">
        <v>2.2400000000000002</v>
      </c>
      <c r="L6" s="36" t="s">
        <v>103</v>
      </c>
      <c r="M6" s="36">
        <v>0</v>
      </c>
      <c r="N6" s="38">
        <f t="shared" si="0"/>
        <v>0</v>
      </c>
      <c r="O6" s="76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x14ac:dyDescent="0.2">
      <c r="A7" s="42" t="s">
        <v>1402</v>
      </c>
      <c r="B7" s="42" t="s">
        <v>194</v>
      </c>
      <c r="C7" s="42" t="s">
        <v>195</v>
      </c>
      <c r="D7" s="43">
        <v>45809</v>
      </c>
      <c r="E7" s="42" t="s">
        <v>1396</v>
      </c>
      <c r="F7" s="42" t="s">
        <v>34</v>
      </c>
      <c r="G7" s="42" t="s">
        <v>102</v>
      </c>
      <c r="H7" s="44">
        <v>288.83999999999997</v>
      </c>
      <c r="I7" s="44">
        <v>343.43</v>
      </c>
      <c r="J7" s="44">
        <v>78.25</v>
      </c>
      <c r="K7" s="45">
        <v>1.19</v>
      </c>
      <c r="L7" s="42" t="s">
        <v>103</v>
      </c>
      <c r="M7" s="42">
        <v>0</v>
      </c>
      <c r="N7" s="46">
        <f t="shared" si="0"/>
        <v>0</v>
      </c>
      <c r="O7" s="76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x14ac:dyDescent="0.2">
      <c r="A8" s="36" t="s">
        <v>1403</v>
      </c>
      <c r="B8" s="36" t="s">
        <v>477</v>
      </c>
      <c r="C8" s="36" t="s">
        <v>478</v>
      </c>
      <c r="D8" s="40">
        <v>45989</v>
      </c>
      <c r="E8" s="36" t="s">
        <v>1404</v>
      </c>
      <c r="F8" s="36" t="s">
        <v>23</v>
      </c>
      <c r="G8" s="36" t="s">
        <v>102</v>
      </c>
      <c r="H8" s="37">
        <v>124.48</v>
      </c>
      <c r="I8" s="37">
        <v>418.7</v>
      </c>
      <c r="J8" s="37">
        <v>27.56</v>
      </c>
      <c r="K8" s="41">
        <v>3.36</v>
      </c>
      <c r="L8" s="36" t="s">
        <v>103</v>
      </c>
      <c r="M8" s="36">
        <v>1</v>
      </c>
      <c r="N8" s="38">
        <f t="shared" si="0"/>
        <v>0</v>
      </c>
      <c r="O8" s="76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x14ac:dyDescent="0.2">
      <c r="A9" s="42" t="s">
        <v>1405</v>
      </c>
      <c r="B9" s="42" t="s">
        <v>559</v>
      </c>
      <c r="C9" s="42" t="s">
        <v>560</v>
      </c>
      <c r="D9" s="43">
        <v>45721</v>
      </c>
      <c r="E9" s="42" t="s">
        <v>1404</v>
      </c>
      <c r="F9" s="42" t="s">
        <v>34</v>
      </c>
      <c r="G9" s="42" t="s">
        <v>102</v>
      </c>
      <c r="H9" s="44">
        <v>31.7</v>
      </c>
      <c r="I9" s="44">
        <v>74.38</v>
      </c>
      <c r="J9" s="44">
        <v>5</v>
      </c>
      <c r="K9" s="45">
        <v>2.35</v>
      </c>
      <c r="L9" s="42" t="s">
        <v>103</v>
      </c>
      <c r="M9" s="42">
        <v>0</v>
      </c>
      <c r="N9" s="46">
        <f t="shared" si="0"/>
        <v>0</v>
      </c>
      <c r="O9" s="76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x14ac:dyDescent="0.2">
      <c r="A10" s="36" t="s">
        <v>1406</v>
      </c>
      <c r="B10" s="36" t="s">
        <v>1002</v>
      </c>
      <c r="C10" s="36" t="s">
        <v>1003</v>
      </c>
      <c r="D10" s="40">
        <v>45814</v>
      </c>
      <c r="E10" s="36" t="s">
        <v>1407</v>
      </c>
      <c r="F10" s="36" t="s">
        <v>34</v>
      </c>
      <c r="G10" s="36" t="s">
        <v>102</v>
      </c>
      <c r="H10" s="37">
        <v>78.81</v>
      </c>
      <c r="I10" s="37">
        <v>220.81</v>
      </c>
      <c r="J10" s="37">
        <v>22.88</v>
      </c>
      <c r="K10" s="41">
        <v>2.8</v>
      </c>
      <c r="L10" s="36" t="s">
        <v>103</v>
      </c>
      <c r="M10" s="36">
        <v>0</v>
      </c>
      <c r="N10" s="38">
        <f t="shared" si="0"/>
        <v>0</v>
      </c>
      <c r="O10" s="76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x14ac:dyDescent="0.2">
      <c r="A11" s="42" t="s">
        <v>1408</v>
      </c>
      <c r="B11" s="42" t="s">
        <v>1053</v>
      </c>
      <c r="C11" s="42" t="s">
        <v>1054</v>
      </c>
      <c r="D11" s="43">
        <v>45988</v>
      </c>
      <c r="E11" s="42" t="s">
        <v>1404</v>
      </c>
      <c r="F11" s="42" t="s">
        <v>30</v>
      </c>
      <c r="G11" s="42" t="s">
        <v>102</v>
      </c>
      <c r="H11" s="44">
        <v>258.41000000000003</v>
      </c>
      <c r="I11" s="44">
        <v>306.12</v>
      </c>
      <c r="J11" s="44">
        <v>19.02</v>
      </c>
      <c r="K11" s="45">
        <v>1.18</v>
      </c>
      <c r="L11" s="42" t="s">
        <v>103</v>
      </c>
      <c r="M11" s="42">
        <v>0</v>
      </c>
      <c r="N11" s="46">
        <f t="shared" si="0"/>
        <v>0</v>
      </c>
      <c r="O11" s="76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x14ac:dyDescent="0.2">
      <c r="A12" s="36" t="s">
        <v>1409</v>
      </c>
      <c r="B12" s="36" t="s">
        <v>1272</v>
      </c>
      <c r="C12" s="36" t="s">
        <v>1273</v>
      </c>
      <c r="D12" s="40">
        <v>45757</v>
      </c>
      <c r="E12" s="36" t="s">
        <v>1410</v>
      </c>
      <c r="F12" s="36" t="s">
        <v>34</v>
      </c>
      <c r="G12" s="36" t="s">
        <v>102</v>
      </c>
      <c r="H12" s="37">
        <v>52.09</v>
      </c>
      <c r="I12" s="37">
        <v>136.04</v>
      </c>
      <c r="J12" s="37">
        <v>11.82</v>
      </c>
      <c r="K12" s="41">
        <v>2.61</v>
      </c>
      <c r="L12" s="36" t="s">
        <v>103</v>
      </c>
      <c r="M12" s="36">
        <v>2</v>
      </c>
      <c r="N12" s="38">
        <f t="shared" si="0"/>
        <v>0</v>
      </c>
      <c r="O12" s="76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x14ac:dyDescent="0.2">
      <c r="A13" s="42" t="s">
        <v>1411</v>
      </c>
      <c r="B13" s="42" t="s">
        <v>67</v>
      </c>
      <c r="C13" s="42" t="s">
        <v>68</v>
      </c>
      <c r="D13" s="43">
        <v>45939</v>
      </c>
      <c r="E13" s="42" t="s">
        <v>1410</v>
      </c>
      <c r="F13" s="42" t="s">
        <v>34</v>
      </c>
      <c r="G13" s="42" t="s">
        <v>103</v>
      </c>
      <c r="H13" s="44">
        <v>149.15</v>
      </c>
      <c r="I13" s="44">
        <v>340.67</v>
      </c>
      <c r="J13" s="44">
        <v>17.34</v>
      </c>
      <c r="K13" s="45">
        <v>2.2799999999999998</v>
      </c>
      <c r="L13" s="42" t="s">
        <v>103</v>
      </c>
      <c r="M13" s="42">
        <v>0</v>
      </c>
      <c r="N13" s="46">
        <f t="shared" si="0"/>
        <v>20</v>
      </c>
      <c r="O13" s="76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x14ac:dyDescent="0.2">
      <c r="A14" s="36" t="s">
        <v>1412</v>
      </c>
      <c r="B14" s="36" t="s">
        <v>1272</v>
      </c>
      <c r="C14" s="36" t="s">
        <v>1273</v>
      </c>
      <c r="D14" s="40">
        <v>45708</v>
      </c>
      <c r="E14" s="36" t="s">
        <v>1398</v>
      </c>
      <c r="F14" s="36" t="s">
        <v>34</v>
      </c>
      <c r="G14" s="36" t="s">
        <v>102</v>
      </c>
      <c r="H14" s="37">
        <v>75.28</v>
      </c>
      <c r="I14" s="37">
        <v>178.23</v>
      </c>
      <c r="J14" s="37">
        <v>28.65</v>
      </c>
      <c r="K14" s="41">
        <v>2.37</v>
      </c>
      <c r="L14" s="36" t="s">
        <v>103</v>
      </c>
      <c r="M14" s="36">
        <v>2</v>
      </c>
      <c r="N14" s="38">
        <f t="shared" si="0"/>
        <v>0</v>
      </c>
      <c r="O14" s="76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x14ac:dyDescent="0.2">
      <c r="A15" s="42" t="s">
        <v>1413</v>
      </c>
      <c r="B15" s="42" t="s">
        <v>1019</v>
      </c>
      <c r="C15" s="42" t="s">
        <v>1020</v>
      </c>
      <c r="D15" s="43">
        <v>46001</v>
      </c>
      <c r="E15" s="42" t="s">
        <v>1407</v>
      </c>
      <c r="F15" s="42" t="s">
        <v>34</v>
      </c>
      <c r="G15" s="42" t="s">
        <v>103</v>
      </c>
      <c r="H15" s="44">
        <v>203.53</v>
      </c>
      <c r="I15" s="44">
        <v>217.8</v>
      </c>
      <c r="J15" s="44">
        <v>50.44</v>
      </c>
      <c r="K15" s="45">
        <v>1.07</v>
      </c>
      <c r="L15" s="42" t="s">
        <v>103</v>
      </c>
      <c r="M15" s="42">
        <v>0</v>
      </c>
      <c r="N15" s="46">
        <f t="shared" si="0"/>
        <v>20</v>
      </c>
      <c r="O15" s="76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x14ac:dyDescent="0.2">
      <c r="A16" s="36" t="s">
        <v>1414</v>
      </c>
      <c r="B16" s="36" t="s">
        <v>56</v>
      </c>
      <c r="C16" s="36" t="s">
        <v>57</v>
      </c>
      <c r="D16" s="40">
        <v>45906</v>
      </c>
      <c r="E16" s="36" t="s">
        <v>1404</v>
      </c>
      <c r="F16" s="36" t="s">
        <v>34</v>
      </c>
      <c r="G16" s="36" t="s">
        <v>102</v>
      </c>
      <c r="H16" s="37">
        <v>1011.16</v>
      </c>
      <c r="I16" s="37">
        <v>350.4</v>
      </c>
      <c r="J16" s="37">
        <v>699.42</v>
      </c>
      <c r="K16" s="41">
        <v>0.35</v>
      </c>
      <c r="L16" s="36" t="s">
        <v>318</v>
      </c>
      <c r="M16" s="36">
        <v>0</v>
      </c>
      <c r="N16" s="38">
        <f t="shared" si="0"/>
        <v>80</v>
      </c>
      <c r="O16" s="76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x14ac:dyDescent="0.2">
      <c r="A17" s="42" t="s">
        <v>1415</v>
      </c>
      <c r="B17" s="42" t="s">
        <v>939</v>
      </c>
      <c r="C17" s="42" t="s">
        <v>940</v>
      </c>
      <c r="D17" s="43">
        <v>45844</v>
      </c>
      <c r="E17" s="42" t="s">
        <v>1398</v>
      </c>
      <c r="F17" s="42" t="s">
        <v>20</v>
      </c>
      <c r="G17" s="42" t="s">
        <v>102</v>
      </c>
      <c r="H17" s="44">
        <v>246.16</v>
      </c>
      <c r="I17" s="44">
        <v>834.08</v>
      </c>
      <c r="J17" s="44">
        <v>16.600000000000001</v>
      </c>
      <c r="K17" s="45">
        <v>3.39</v>
      </c>
      <c r="L17" s="42" t="s">
        <v>103</v>
      </c>
      <c r="M17" s="42">
        <v>0</v>
      </c>
      <c r="N17" s="46">
        <f t="shared" si="0"/>
        <v>0</v>
      </c>
      <c r="O17" s="76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x14ac:dyDescent="0.2">
      <c r="A18" s="36" t="s">
        <v>1416</v>
      </c>
      <c r="B18" s="36" t="s">
        <v>720</v>
      </c>
      <c r="C18" s="36" t="s">
        <v>721</v>
      </c>
      <c r="D18" s="40">
        <v>46060</v>
      </c>
      <c r="E18" s="36" t="s">
        <v>1396</v>
      </c>
      <c r="F18" s="36" t="s">
        <v>34</v>
      </c>
      <c r="G18" s="36" t="s">
        <v>102</v>
      </c>
      <c r="H18" s="37">
        <v>82.03</v>
      </c>
      <c r="I18" s="37">
        <v>229.48</v>
      </c>
      <c r="J18" s="37">
        <v>14.31</v>
      </c>
      <c r="K18" s="41">
        <v>2.8</v>
      </c>
      <c r="L18" s="36" t="s">
        <v>103</v>
      </c>
      <c r="M18" s="36">
        <v>0</v>
      </c>
      <c r="N18" s="38">
        <f t="shared" si="0"/>
        <v>0</v>
      </c>
      <c r="O18" s="76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x14ac:dyDescent="0.2">
      <c r="A19" s="42" t="s">
        <v>1417</v>
      </c>
      <c r="B19" s="42" t="s">
        <v>495</v>
      </c>
      <c r="C19" s="42" t="s">
        <v>496</v>
      </c>
      <c r="D19" s="43">
        <v>45726</v>
      </c>
      <c r="E19" s="42" t="s">
        <v>1401</v>
      </c>
      <c r="F19" s="42" t="s">
        <v>32</v>
      </c>
      <c r="G19" s="42" t="s">
        <v>102</v>
      </c>
      <c r="H19" s="44">
        <v>210.28</v>
      </c>
      <c r="I19" s="44">
        <v>356.47</v>
      </c>
      <c r="J19" s="44">
        <v>40.369999999999997</v>
      </c>
      <c r="K19" s="45">
        <v>1.7</v>
      </c>
      <c r="L19" s="42" t="s">
        <v>103</v>
      </c>
      <c r="M19" s="42">
        <v>3</v>
      </c>
      <c r="N19" s="46">
        <f t="shared" si="0"/>
        <v>0</v>
      </c>
      <c r="O19" s="76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x14ac:dyDescent="0.2">
      <c r="A20" s="36" t="s">
        <v>1418</v>
      </c>
      <c r="B20" s="36" t="s">
        <v>915</v>
      </c>
      <c r="C20" s="36" t="s">
        <v>916</v>
      </c>
      <c r="D20" s="40">
        <v>46054</v>
      </c>
      <c r="E20" s="36" t="s">
        <v>1404</v>
      </c>
      <c r="F20" s="36" t="s">
        <v>34</v>
      </c>
      <c r="G20" s="36" t="s">
        <v>102</v>
      </c>
      <c r="H20" s="37">
        <v>105.53</v>
      </c>
      <c r="I20" s="37">
        <v>241.61</v>
      </c>
      <c r="J20" s="37">
        <v>7.42</v>
      </c>
      <c r="K20" s="41">
        <v>2.29</v>
      </c>
      <c r="L20" s="36" t="s">
        <v>103</v>
      </c>
      <c r="M20" s="36">
        <v>0</v>
      </c>
      <c r="N20" s="38">
        <f t="shared" si="0"/>
        <v>0</v>
      </c>
      <c r="O20" s="76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x14ac:dyDescent="0.2">
      <c r="A21" s="42" t="s">
        <v>1419</v>
      </c>
      <c r="B21" s="42" t="s">
        <v>232</v>
      </c>
      <c r="C21" s="42" t="s">
        <v>233</v>
      </c>
      <c r="D21" s="43">
        <v>45801</v>
      </c>
      <c r="E21" s="42" t="s">
        <v>1398</v>
      </c>
      <c r="F21" s="42" t="s">
        <v>34</v>
      </c>
      <c r="G21" s="42" t="s">
        <v>103</v>
      </c>
      <c r="H21" s="44">
        <v>260.44</v>
      </c>
      <c r="I21" s="44">
        <v>306.8</v>
      </c>
      <c r="J21" s="44">
        <v>56.11</v>
      </c>
      <c r="K21" s="45">
        <v>1.18</v>
      </c>
      <c r="L21" s="42" t="s">
        <v>103</v>
      </c>
      <c r="M21" s="42">
        <v>0</v>
      </c>
      <c r="N21" s="46">
        <f t="shared" si="0"/>
        <v>20</v>
      </c>
      <c r="O21" s="76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x14ac:dyDescent="0.2">
      <c r="A22" s="36" t="s">
        <v>1420</v>
      </c>
      <c r="B22" s="36" t="s">
        <v>1042</v>
      </c>
      <c r="C22" s="36" t="s">
        <v>1043</v>
      </c>
      <c r="D22" s="40">
        <v>45978</v>
      </c>
      <c r="E22" s="36" t="s">
        <v>1404</v>
      </c>
      <c r="F22" s="36" t="s">
        <v>23</v>
      </c>
      <c r="G22" s="36" t="s">
        <v>103</v>
      </c>
      <c r="H22" s="37">
        <v>41.41</v>
      </c>
      <c r="I22" s="37">
        <v>41.56</v>
      </c>
      <c r="J22" s="37">
        <v>0.31</v>
      </c>
      <c r="K22" s="41">
        <v>1</v>
      </c>
      <c r="L22" s="36" t="s">
        <v>103</v>
      </c>
      <c r="M22" s="36">
        <v>1</v>
      </c>
      <c r="N22" s="38">
        <f t="shared" si="0"/>
        <v>20</v>
      </c>
      <c r="O22" s="76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x14ac:dyDescent="0.2">
      <c r="A23" s="42" t="s">
        <v>1421</v>
      </c>
      <c r="B23" s="42" t="s">
        <v>439</v>
      </c>
      <c r="C23" s="42" t="s">
        <v>440</v>
      </c>
      <c r="D23" s="43">
        <v>45673</v>
      </c>
      <c r="E23" s="42" t="s">
        <v>1407</v>
      </c>
      <c r="F23" s="42" t="s">
        <v>26</v>
      </c>
      <c r="G23" s="42" t="s">
        <v>102</v>
      </c>
      <c r="H23" s="44">
        <v>247.54</v>
      </c>
      <c r="I23" s="44">
        <v>584.94000000000005</v>
      </c>
      <c r="J23" s="44">
        <v>76.16</v>
      </c>
      <c r="K23" s="45">
        <v>2.36</v>
      </c>
      <c r="L23" s="42" t="s">
        <v>103</v>
      </c>
      <c r="M23" s="42">
        <v>0</v>
      </c>
      <c r="N23" s="46">
        <f t="shared" si="0"/>
        <v>0</v>
      </c>
      <c r="O23" s="76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x14ac:dyDescent="0.2">
      <c r="A24" s="36" t="s">
        <v>1422</v>
      </c>
      <c r="B24" s="36" t="s">
        <v>596</v>
      </c>
      <c r="C24" s="36" t="s">
        <v>597</v>
      </c>
      <c r="D24" s="40">
        <v>45940</v>
      </c>
      <c r="E24" s="36" t="s">
        <v>1394</v>
      </c>
      <c r="F24" s="36" t="s">
        <v>32</v>
      </c>
      <c r="G24" s="36" t="s">
        <v>103</v>
      </c>
      <c r="H24" s="37">
        <v>92.97</v>
      </c>
      <c r="I24" s="37">
        <v>298.77999999999997</v>
      </c>
      <c r="J24" s="37">
        <v>20.07</v>
      </c>
      <c r="K24" s="41">
        <v>3.21</v>
      </c>
      <c r="L24" s="36" t="s">
        <v>103</v>
      </c>
      <c r="M24" s="36">
        <v>2</v>
      </c>
      <c r="N24" s="38">
        <f t="shared" si="0"/>
        <v>20</v>
      </c>
      <c r="O24" s="76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x14ac:dyDescent="0.2">
      <c r="A25" s="42" t="s">
        <v>1423</v>
      </c>
      <c r="B25" s="42" t="s">
        <v>73</v>
      </c>
      <c r="C25" s="42" t="s">
        <v>74</v>
      </c>
      <c r="D25" s="43">
        <v>45734</v>
      </c>
      <c r="E25" s="42" t="s">
        <v>1394</v>
      </c>
      <c r="F25" s="42" t="s">
        <v>34</v>
      </c>
      <c r="G25" s="42" t="s">
        <v>103</v>
      </c>
      <c r="H25" s="44">
        <v>122.43</v>
      </c>
      <c r="I25" s="44">
        <v>171.76</v>
      </c>
      <c r="J25" s="44">
        <v>37.81</v>
      </c>
      <c r="K25" s="45">
        <v>1.4</v>
      </c>
      <c r="L25" s="42" t="s">
        <v>103</v>
      </c>
      <c r="M25" s="42">
        <v>0</v>
      </c>
      <c r="N25" s="46">
        <f t="shared" si="0"/>
        <v>20</v>
      </c>
    </row>
    <row r="26" spans="1:26" x14ac:dyDescent="0.2">
      <c r="A26" s="36" t="s">
        <v>1424</v>
      </c>
      <c r="B26" s="36" t="s">
        <v>943</v>
      </c>
      <c r="C26" s="36" t="s">
        <v>944</v>
      </c>
      <c r="D26" s="40">
        <v>45726</v>
      </c>
      <c r="E26" s="36" t="s">
        <v>1404</v>
      </c>
      <c r="F26" s="36" t="s">
        <v>23</v>
      </c>
      <c r="G26" s="36" t="s">
        <v>103</v>
      </c>
      <c r="H26" s="37">
        <v>150.12</v>
      </c>
      <c r="I26" s="37">
        <v>326.98</v>
      </c>
      <c r="J26" s="37">
        <v>23.83</v>
      </c>
      <c r="K26" s="41">
        <v>2.1800000000000002</v>
      </c>
      <c r="L26" s="36" t="s">
        <v>103</v>
      </c>
      <c r="M26" s="36">
        <v>2</v>
      </c>
      <c r="N26" s="38">
        <f t="shared" si="0"/>
        <v>20</v>
      </c>
    </row>
    <row r="27" spans="1:26" x14ac:dyDescent="0.2">
      <c r="A27" s="42" t="s">
        <v>1425</v>
      </c>
      <c r="B27" s="42" t="s">
        <v>659</v>
      </c>
      <c r="C27" s="42" t="s">
        <v>660</v>
      </c>
      <c r="D27" s="43">
        <v>45997</v>
      </c>
      <c r="E27" s="42" t="s">
        <v>1394</v>
      </c>
      <c r="F27" s="42" t="s">
        <v>34</v>
      </c>
      <c r="G27" s="42" t="s">
        <v>102</v>
      </c>
      <c r="H27" s="44">
        <v>86.89</v>
      </c>
      <c r="I27" s="44">
        <v>295.67</v>
      </c>
      <c r="J27" s="44">
        <v>34.130000000000003</v>
      </c>
      <c r="K27" s="45">
        <v>3.4</v>
      </c>
      <c r="L27" s="42" t="s">
        <v>103</v>
      </c>
      <c r="M27" s="42">
        <v>0</v>
      </c>
      <c r="N27" s="46">
        <f t="shared" si="0"/>
        <v>0</v>
      </c>
    </row>
    <row r="28" spans="1:26" x14ac:dyDescent="0.2">
      <c r="A28" s="36" t="s">
        <v>1426</v>
      </c>
      <c r="B28" s="36" t="s">
        <v>911</v>
      </c>
      <c r="C28" s="36" t="s">
        <v>912</v>
      </c>
      <c r="D28" s="40">
        <v>46045</v>
      </c>
      <c r="E28" s="36" t="s">
        <v>1404</v>
      </c>
      <c r="F28" s="36" t="s">
        <v>34</v>
      </c>
      <c r="G28" s="36" t="s">
        <v>103</v>
      </c>
      <c r="H28" s="37">
        <v>163.96</v>
      </c>
      <c r="I28" s="37">
        <v>328.71</v>
      </c>
      <c r="J28" s="37">
        <v>11.75</v>
      </c>
      <c r="K28" s="41">
        <v>2</v>
      </c>
      <c r="L28" s="36" t="s">
        <v>103</v>
      </c>
      <c r="M28" s="36">
        <v>0</v>
      </c>
      <c r="N28" s="38">
        <f t="shared" si="0"/>
        <v>20</v>
      </c>
    </row>
    <row r="29" spans="1:26" x14ac:dyDescent="0.2">
      <c r="A29" s="42" t="s">
        <v>1427</v>
      </c>
      <c r="B29" s="42" t="s">
        <v>1011</v>
      </c>
      <c r="C29" s="42" t="s">
        <v>1012</v>
      </c>
      <c r="D29" s="43">
        <v>45732</v>
      </c>
      <c r="E29" s="42" t="s">
        <v>1407</v>
      </c>
      <c r="F29" s="42" t="s">
        <v>34</v>
      </c>
      <c r="G29" s="42" t="s">
        <v>102</v>
      </c>
      <c r="H29" s="44">
        <v>226.06</v>
      </c>
      <c r="I29" s="44">
        <v>475.96</v>
      </c>
      <c r="J29" s="44">
        <v>32.44</v>
      </c>
      <c r="K29" s="45">
        <v>2.11</v>
      </c>
      <c r="L29" s="42" t="s">
        <v>103</v>
      </c>
      <c r="M29" s="42">
        <v>1</v>
      </c>
      <c r="N29" s="46">
        <f t="shared" si="0"/>
        <v>0</v>
      </c>
    </row>
    <row r="30" spans="1:26" x14ac:dyDescent="0.2">
      <c r="A30" s="36" t="s">
        <v>1428</v>
      </c>
      <c r="B30" s="36" t="s">
        <v>563</v>
      </c>
      <c r="C30" s="36" t="s">
        <v>564</v>
      </c>
      <c r="D30" s="40">
        <v>45907</v>
      </c>
      <c r="E30" s="36" t="s">
        <v>1394</v>
      </c>
      <c r="F30" s="36" t="s">
        <v>34</v>
      </c>
      <c r="G30" s="36" t="s">
        <v>103</v>
      </c>
      <c r="H30" s="37">
        <v>84.89</v>
      </c>
      <c r="I30" s="37">
        <v>128.5</v>
      </c>
      <c r="J30" s="37">
        <v>7.95</v>
      </c>
      <c r="K30" s="41">
        <v>1.51</v>
      </c>
      <c r="L30" s="36" t="s">
        <v>103</v>
      </c>
      <c r="M30" s="36">
        <v>3</v>
      </c>
      <c r="N30" s="38">
        <f t="shared" si="0"/>
        <v>20</v>
      </c>
    </row>
    <row r="31" spans="1:26" x14ac:dyDescent="0.2">
      <c r="A31" s="42" t="s">
        <v>1429</v>
      </c>
      <c r="B31" s="42" t="s">
        <v>726</v>
      </c>
      <c r="C31" s="42" t="s">
        <v>727</v>
      </c>
      <c r="D31" s="43">
        <v>45923</v>
      </c>
      <c r="E31" s="42" t="s">
        <v>1401</v>
      </c>
      <c r="F31" s="42" t="s">
        <v>34</v>
      </c>
      <c r="G31" s="42" t="s">
        <v>102</v>
      </c>
      <c r="H31" s="44">
        <v>274.16000000000003</v>
      </c>
      <c r="I31" s="44">
        <v>486.74</v>
      </c>
      <c r="J31" s="44">
        <v>51.51</v>
      </c>
      <c r="K31" s="45">
        <v>1.78</v>
      </c>
      <c r="L31" s="42" t="s">
        <v>103</v>
      </c>
      <c r="M31" s="42">
        <v>0</v>
      </c>
      <c r="N31" s="46">
        <f t="shared" si="0"/>
        <v>0</v>
      </c>
    </row>
    <row r="32" spans="1:26" x14ac:dyDescent="0.2">
      <c r="A32" s="36" t="s">
        <v>1430</v>
      </c>
      <c r="B32" s="36" t="s">
        <v>224</v>
      </c>
      <c r="C32" s="36" t="s">
        <v>225</v>
      </c>
      <c r="D32" s="40">
        <v>45678</v>
      </c>
      <c r="E32" s="36" t="s">
        <v>1404</v>
      </c>
      <c r="F32" s="36" t="s">
        <v>34</v>
      </c>
      <c r="G32" s="36" t="s">
        <v>102</v>
      </c>
      <c r="H32" s="37">
        <v>294.57</v>
      </c>
      <c r="I32" s="37">
        <v>493.4</v>
      </c>
      <c r="J32" s="37">
        <v>82.92</v>
      </c>
      <c r="K32" s="41">
        <v>1.67</v>
      </c>
      <c r="L32" s="36" t="s">
        <v>103</v>
      </c>
      <c r="M32" s="36">
        <v>1</v>
      </c>
      <c r="N32" s="38">
        <f t="shared" si="0"/>
        <v>0</v>
      </c>
    </row>
    <row r="33" spans="1:14" x14ac:dyDescent="0.2">
      <c r="A33" s="42" t="s">
        <v>1431</v>
      </c>
      <c r="B33" s="42" t="s">
        <v>1123</v>
      </c>
      <c r="C33" s="42" t="s">
        <v>1124</v>
      </c>
      <c r="D33" s="43">
        <v>46082</v>
      </c>
      <c r="E33" s="42" t="s">
        <v>1404</v>
      </c>
      <c r="F33" s="42" t="s">
        <v>34</v>
      </c>
      <c r="G33" s="42" t="s">
        <v>102</v>
      </c>
      <c r="H33" s="44">
        <v>96.58</v>
      </c>
      <c r="I33" s="44">
        <v>270.73</v>
      </c>
      <c r="J33" s="44">
        <v>22.35</v>
      </c>
      <c r="K33" s="45">
        <v>2.8</v>
      </c>
      <c r="L33" s="42" t="s">
        <v>103</v>
      </c>
      <c r="M33" s="42">
        <v>0</v>
      </c>
      <c r="N33" s="46">
        <f t="shared" si="0"/>
        <v>0</v>
      </c>
    </row>
    <row r="34" spans="1:14" x14ac:dyDescent="0.2">
      <c r="A34" s="36" t="s">
        <v>1432</v>
      </c>
      <c r="B34" s="36" t="s">
        <v>673</v>
      </c>
      <c r="C34" s="36" t="s">
        <v>674</v>
      </c>
      <c r="D34" s="40">
        <v>45850</v>
      </c>
      <c r="E34" s="36" t="s">
        <v>1396</v>
      </c>
      <c r="F34" s="36" t="s">
        <v>34</v>
      </c>
      <c r="G34" s="36" t="s">
        <v>103</v>
      </c>
      <c r="H34" s="37">
        <v>203.03</v>
      </c>
      <c r="I34" s="37">
        <v>362.67</v>
      </c>
      <c r="J34" s="37">
        <v>53.06</v>
      </c>
      <c r="K34" s="41">
        <v>1.79</v>
      </c>
      <c r="L34" s="36" t="s">
        <v>103</v>
      </c>
      <c r="M34" s="36">
        <v>2</v>
      </c>
      <c r="N34" s="38">
        <f t="shared" ref="N34:N65" si="1">IF(L34="YES",35,0)+IF(K34&lt;0.5,30,IF(K34&lt;1,15,0))+IF(G34="No",20,0)+IF(J34/H34&gt;0.6,15,0)</f>
        <v>20</v>
      </c>
    </row>
    <row r="35" spans="1:14" x14ac:dyDescent="0.2">
      <c r="A35" s="42" t="s">
        <v>1433</v>
      </c>
      <c r="B35" s="42" t="s">
        <v>332</v>
      </c>
      <c r="C35" s="42" t="s">
        <v>333</v>
      </c>
      <c r="D35" s="43">
        <v>45922</v>
      </c>
      <c r="E35" s="42" t="s">
        <v>1401</v>
      </c>
      <c r="F35" s="42" t="s">
        <v>34</v>
      </c>
      <c r="G35" s="42" t="s">
        <v>103</v>
      </c>
      <c r="H35" s="44">
        <v>90.44</v>
      </c>
      <c r="I35" s="44">
        <v>309.87</v>
      </c>
      <c r="J35" s="44">
        <v>8.06</v>
      </c>
      <c r="K35" s="45">
        <v>3.43</v>
      </c>
      <c r="L35" s="42" t="s">
        <v>103</v>
      </c>
      <c r="M35" s="42">
        <v>0</v>
      </c>
      <c r="N35" s="46">
        <f t="shared" si="1"/>
        <v>20</v>
      </c>
    </row>
    <row r="36" spans="1:14" x14ac:dyDescent="0.2">
      <c r="A36" s="36" t="s">
        <v>1434</v>
      </c>
      <c r="B36" s="36" t="s">
        <v>443</v>
      </c>
      <c r="C36" s="36" t="s">
        <v>444</v>
      </c>
      <c r="D36" s="40">
        <v>46076</v>
      </c>
      <c r="E36" s="36" t="s">
        <v>1404</v>
      </c>
      <c r="F36" s="36" t="s">
        <v>34</v>
      </c>
      <c r="G36" s="36" t="s">
        <v>102</v>
      </c>
      <c r="H36" s="37">
        <v>262.95999999999998</v>
      </c>
      <c r="I36" s="37">
        <v>556.04</v>
      </c>
      <c r="J36" s="37">
        <v>50.71</v>
      </c>
      <c r="K36" s="41">
        <v>2.11</v>
      </c>
      <c r="L36" s="36" t="s">
        <v>103</v>
      </c>
      <c r="M36" s="36">
        <v>0</v>
      </c>
      <c r="N36" s="38">
        <f t="shared" si="1"/>
        <v>0</v>
      </c>
    </row>
    <row r="37" spans="1:14" x14ac:dyDescent="0.2">
      <c r="A37" s="42" t="s">
        <v>1435</v>
      </c>
      <c r="B37" s="42" t="s">
        <v>276</v>
      </c>
      <c r="C37" s="42" t="s">
        <v>277</v>
      </c>
      <c r="D37" s="43">
        <v>45914</v>
      </c>
      <c r="E37" s="42" t="s">
        <v>1404</v>
      </c>
      <c r="F37" s="42" t="s">
        <v>34</v>
      </c>
      <c r="G37" s="42" t="s">
        <v>102</v>
      </c>
      <c r="H37" s="44">
        <v>266.97000000000003</v>
      </c>
      <c r="I37" s="44">
        <v>530.66</v>
      </c>
      <c r="J37" s="44">
        <v>24.56</v>
      </c>
      <c r="K37" s="45">
        <v>1.99</v>
      </c>
      <c r="L37" s="42" t="s">
        <v>103</v>
      </c>
      <c r="M37" s="42">
        <v>0</v>
      </c>
      <c r="N37" s="46">
        <f t="shared" si="1"/>
        <v>0</v>
      </c>
    </row>
    <row r="38" spans="1:14" x14ac:dyDescent="0.2">
      <c r="A38" s="36" t="s">
        <v>1436</v>
      </c>
      <c r="B38" s="36" t="s">
        <v>380</v>
      </c>
      <c r="C38" s="36" t="s">
        <v>381</v>
      </c>
      <c r="D38" s="40">
        <v>45801</v>
      </c>
      <c r="E38" s="36" t="s">
        <v>1394</v>
      </c>
      <c r="F38" s="36" t="s">
        <v>34</v>
      </c>
      <c r="G38" s="36" t="s">
        <v>103</v>
      </c>
      <c r="H38" s="37">
        <v>79.22</v>
      </c>
      <c r="I38" s="37">
        <v>103.35</v>
      </c>
      <c r="J38" s="37">
        <v>11.48</v>
      </c>
      <c r="K38" s="41">
        <v>1.3</v>
      </c>
      <c r="L38" s="36" t="s">
        <v>103</v>
      </c>
      <c r="M38" s="36">
        <v>1</v>
      </c>
      <c r="N38" s="38">
        <f t="shared" si="1"/>
        <v>20</v>
      </c>
    </row>
    <row r="39" spans="1:14" x14ac:dyDescent="0.2">
      <c r="A39" s="42" t="s">
        <v>1437</v>
      </c>
      <c r="B39" s="42" t="s">
        <v>507</v>
      </c>
      <c r="C39" s="42" t="s">
        <v>508</v>
      </c>
      <c r="D39" s="43">
        <v>45996</v>
      </c>
      <c r="E39" s="42" t="s">
        <v>1401</v>
      </c>
      <c r="F39" s="42" t="s">
        <v>34</v>
      </c>
      <c r="G39" s="42" t="s">
        <v>102</v>
      </c>
      <c r="H39" s="44">
        <v>84.5</v>
      </c>
      <c r="I39" s="44">
        <v>252.67</v>
      </c>
      <c r="J39" s="44">
        <v>24.34</v>
      </c>
      <c r="K39" s="45">
        <v>2.99</v>
      </c>
      <c r="L39" s="42" t="s">
        <v>103</v>
      </c>
      <c r="M39" s="42">
        <v>2</v>
      </c>
      <c r="N39" s="46">
        <f t="shared" si="1"/>
        <v>0</v>
      </c>
    </row>
    <row r="40" spans="1:14" x14ac:dyDescent="0.2">
      <c r="A40" s="36" t="s">
        <v>1438</v>
      </c>
      <c r="B40" s="36" t="s">
        <v>791</v>
      </c>
      <c r="C40" s="36" t="s">
        <v>792</v>
      </c>
      <c r="D40" s="40">
        <v>45903</v>
      </c>
      <c r="E40" s="36" t="s">
        <v>1401</v>
      </c>
      <c r="F40" s="36" t="s">
        <v>34</v>
      </c>
      <c r="G40" s="36" t="s">
        <v>102</v>
      </c>
      <c r="H40" s="37">
        <v>154.13</v>
      </c>
      <c r="I40" s="37">
        <v>369.16</v>
      </c>
      <c r="J40" s="37">
        <v>39.9</v>
      </c>
      <c r="K40" s="41">
        <v>2.4</v>
      </c>
      <c r="L40" s="36" t="s">
        <v>103</v>
      </c>
      <c r="M40" s="36">
        <v>0</v>
      </c>
      <c r="N40" s="38">
        <f t="shared" si="1"/>
        <v>0</v>
      </c>
    </row>
    <row r="41" spans="1:14" x14ac:dyDescent="0.2">
      <c r="A41" s="42" t="s">
        <v>1439</v>
      </c>
      <c r="B41" s="42" t="s">
        <v>123</v>
      </c>
      <c r="C41" s="42" t="s">
        <v>124</v>
      </c>
      <c r="D41" s="43">
        <v>45782</v>
      </c>
      <c r="E41" s="42" t="s">
        <v>1394</v>
      </c>
      <c r="F41" s="42" t="s">
        <v>34</v>
      </c>
      <c r="G41" s="42" t="s">
        <v>102</v>
      </c>
      <c r="H41" s="44">
        <v>32.08</v>
      </c>
      <c r="I41" s="44">
        <v>75.34</v>
      </c>
      <c r="J41" s="44">
        <v>2.0699999999999998</v>
      </c>
      <c r="K41" s="45">
        <v>2.35</v>
      </c>
      <c r="L41" s="42" t="s">
        <v>103</v>
      </c>
      <c r="M41" s="42">
        <v>0</v>
      </c>
      <c r="N41" s="46">
        <f t="shared" si="1"/>
        <v>0</v>
      </c>
    </row>
    <row r="42" spans="1:14" x14ac:dyDescent="0.2">
      <c r="A42" s="36" t="s">
        <v>1440</v>
      </c>
      <c r="B42" s="36" t="s">
        <v>69</v>
      </c>
      <c r="C42" s="36" t="s">
        <v>70</v>
      </c>
      <c r="D42" s="40">
        <v>45678</v>
      </c>
      <c r="E42" s="36" t="s">
        <v>1407</v>
      </c>
      <c r="F42" s="36" t="s">
        <v>23</v>
      </c>
      <c r="G42" s="36" t="s">
        <v>103</v>
      </c>
      <c r="H42" s="37">
        <v>269.42</v>
      </c>
      <c r="I42" s="37">
        <v>322.37</v>
      </c>
      <c r="J42" s="37">
        <v>17.93</v>
      </c>
      <c r="K42" s="41">
        <v>1.2</v>
      </c>
      <c r="L42" s="36" t="s">
        <v>103</v>
      </c>
      <c r="M42" s="36">
        <v>1</v>
      </c>
      <c r="N42" s="38">
        <f t="shared" si="1"/>
        <v>20</v>
      </c>
    </row>
    <row r="43" spans="1:14" x14ac:dyDescent="0.2">
      <c r="A43" s="42" t="s">
        <v>1441</v>
      </c>
      <c r="B43" s="42" t="s">
        <v>888</v>
      </c>
      <c r="C43" s="42" t="s">
        <v>889</v>
      </c>
      <c r="D43" s="43">
        <v>45865</v>
      </c>
      <c r="E43" s="42" t="s">
        <v>1394</v>
      </c>
      <c r="F43" s="42" t="s">
        <v>34</v>
      </c>
      <c r="G43" s="42" t="s">
        <v>102</v>
      </c>
      <c r="H43" s="44">
        <v>187.82</v>
      </c>
      <c r="I43" s="44">
        <v>436.07</v>
      </c>
      <c r="J43" s="44">
        <v>1.4</v>
      </c>
      <c r="K43" s="45">
        <v>2.3199999999999998</v>
      </c>
      <c r="L43" s="42" t="s">
        <v>103</v>
      </c>
      <c r="M43" s="42">
        <v>0</v>
      </c>
      <c r="N43" s="46">
        <f t="shared" si="1"/>
        <v>0</v>
      </c>
    </row>
    <row r="44" spans="1:14" x14ac:dyDescent="0.2">
      <c r="A44" s="36" t="s">
        <v>1442</v>
      </c>
      <c r="B44" s="36" t="s">
        <v>477</v>
      </c>
      <c r="C44" s="36" t="s">
        <v>478</v>
      </c>
      <c r="D44" s="40">
        <v>45996</v>
      </c>
      <c r="E44" s="36" t="s">
        <v>1404</v>
      </c>
      <c r="F44" s="36" t="s">
        <v>23</v>
      </c>
      <c r="G44" s="36" t="s">
        <v>102</v>
      </c>
      <c r="H44" s="37">
        <v>249.96</v>
      </c>
      <c r="I44" s="37">
        <v>839.26</v>
      </c>
      <c r="J44" s="37">
        <v>21.66</v>
      </c>
      <c r="K44" s="41">
        <v>3.36</v>
      </c>
      <c r="L44" s="36" t="s">
        <v>103</v>
      </c>
      <c r="M44" s="36">
        <v>1</v>
      </c>
      <c r="N44" s="38">
        <f t="shared" si="1"/>
        <v>0</v>
      </c>
    </row>
    <row r="45" spans="1:14" x14ac:dyDescent="0.2">
      <c r="A45" s="42" t="s">
        <v>1443</v>
      </c>
      <c r="B45" s="42" t="s">
        <v>451</v>
      </c>
      <c r="C45" s="42" t="s">
        <v>452</v>
      </c>
      <c r="D45" s="43">
        <v>45904</v>
      </c>
      <c r="E45" s="42" t="s">
        <v>1396</v>
      </c>
      <c r="F45" s="42" t="s">
        <v>34</v>
      </c>
      <c r="G45" s="42" t="s">
        <v>102</v>
      </c>
      <c r="H45" s="44">
        <v>67.760000000000005</v>
      </c>
      <c r="I45" s="44">
        <v>206.12</v>
      </c>
      <c r="J45" s="44">
        <v>16.29</v>
      </c>
      <c r="K45" s="45">
        <v>3.04</v>
      </c>
      <c r="L45" s="42" t="s">
        <v>103</v>
      </c>
      <c r="M45" s="42">
        <v>1</v>
      </c>
      <c r="N45" s="46">
        <f t="shared" si="1"/>
        <v>0</v>
      </c>
    </row>
    <row r="46" spans="1:14" x14ac:dyDescent="0.2">
      <c r="A46" s="36" t="s">
        <v>1444</v>
      </c>
      <c r="B46" s="36" t="s">
        <v>97</v>
      </c>
      <c r="C46" s="36" t="s">
        <v>98</v>
      </c>
      <c r="D46" s="40">
        <v>46078</v>
      </c>
      <c r="E46" s="36" t="s">
        <v>1407</v>
      </c>
      <c r="F46" s="36" t="s">
        <v>23</v>
      </c>
      <c r="G46" s="36" t="s">
        <v>102</v>
      </c>
      <c r="H46" s="37">
        <v>234.9</v>
      </c>
      <c r="I46" s="37">
        <v>583.17999999999995</v>
      </c>
      <c r="J46" s="37">
        <v>48</v>
      </c>
      <c r="K46" s="41">
        <v>2.48</v>
      </c>
      <c r="L46" s="36" t="s">
        <v>103</v>
      </c>
      <c r="M46" s="36">
        <v>1</v>
      </c>
      <c r="N46" s="38">
        <f t="shared" si="1"/>
        <v>0</v>
      </c>
    </row>
    <row r="47" spans="1:14" x14ac:dyDescent="0.2">
      <c r="A47" s="42" t="s">
        <v>1445</v>
      </c>
      <c r="B47" s="42" t="s">
        <v>158</v>
      </c>
      <c r="C47" s="42" t="s">
        <v>159</v>
      </c>
      <c r="D47" s="43">
        <v>46009</v>
      </c>
      <c r="E47" s="42" t="s">
        <v>1407</v>
      </c>
      <c r="F47" s="42" t="s">
        <v>28</v>
      </c>
      <c r="G47" s="42" t="s">
        <v>102</v>
      </c>
      <c r="H47" s="44">
        <v>115.95</v>
      </c>
      <c r="I47" s="44">
        <v>234.73</v>
      </c>
      <c r="J47" s="44">
        <v>27.39</v>
      </c>
      <c r="K47" s="45">
        <v>2.02</v>
      </c>
      <c r="L47" s="42" t="s">
        <v>103</v>
      </c>
      <c r="M47" s="42">
        <v>0</v>
      </c>
      <c r="N47" s="46">
        <f t="shared" si="1"/>
        <v>0</v>
      </c>
    </row>
    <row r="48" spans="1:14" x14ac:dyDescent="0.2">
      <c r="A48" s="36" t="s">
        <v>1446</v>
      </c>
      <c r="B48" s="36" t="s">
        <v>1047</v>
      </c>
      <c r="C48" s="36" t="s">
        <v>1048</v>
      </c>
      <c r="D48" s="40">
        <v>45855</v>
      </c>
      <c r="E48" s="36" t="s">
        <v>1404</v>
      </c>
      <c r="F48" s="36" t="s">
        <v>34</v>
      </c>
      <c r="G48" s="36" t="s">
        <v>102</v>
      </c>
      <c r="H48" s="37">
        <v>57.02</v>
      </c>
      <c r="I48" s="37">
        <v>48.17</v>
      </c>
      <c r="J48" s="37">
        <v>11.92</v>
      </c>
      <c r="K48" s="41">
        <v>0.84</v>
      </c>
      <c r="L48" s="36" t="s">
        <v>103</v>
      </c>
      <c r="M48" s="36">
        <v>0</v>
      </c>
      <c r="N48" s="38">
        <f t="shared" si="1"/>
        <v>15</v>
      </c>
    </row>
    <row r="49" spans="1:14" x14ac:dyDescent="0.2">
      <c r="A49" s="42" t="s">
        <v>1447</v>
      </c>
      <c r="B49" s="42" t="s">
        <v>1448</v>
      </c>
      <c r="C49" s="42" t="s">
        <v>1449</v>
      </c>
      <c r="D49" s="43">
        <v>45872</v>
      </c>
      <c r="E49" s="42" t="s">
        <v>1404</v>
      </c>
      <c r="F49" s="42" t="s">
        <v>32</v>
      </c>
      <c r="G49" s="42" t="s">
        <v>103</v>
      </c>
      <c r="H49" s="44">
        <v>251.42</v>
      </c>
      <c r="I49" s="44">
        <v>612.17999999999995</v>
      </c>
      <c r="J49" s="44">
        <v>17.84</v>
      </c>
      <c r="K49" s="45">
        <v>2.4300000000000002</v>
      </c>
      <c r="L49" s="42" t="s">
        <v>103</v>
      </c>
      <c r="M49" s="42">
        <v>1</v>
      </c>
      <c r="N49" s="46">
        <f t="shared" si="1"/>
        <v>20</v>
      </c>
    </row>
    <row r="50" spans="1:14" x14ac:dyDescent="0.2">
      <c r="A50" s="36" t="s">
        <v>1450</v>
      </c>
      <c r="B50" s="36" t="s">
        <v>735</v>
      </c>
      <c r="C50" s="36" t="s">
        <v>736</v>
      </c>
      <c r="D50" s="40">
        <v>45677</v>
      </c>
      <c r="E50" s="36" t="s">
        <v>1410</v>
      </c>
      <c r="F50" s="36" t="s">
        <v>30</v>
      </c>
      <c r="G50" s="36" t="s">
        <v>102</v>
      </c>
      <c r="H50" s="37">
        <v>265.77</v>
      </c>
      <c r="I50" s="37">
        <v>593.96</v>
      </c>
      <c r="J50" s="37">
        <v>79.98</v>
      </c>
      <c r="K50" s="41">
        <v>2.23</v>
      </c>
      <c r="L50" s="36" t="s">
        <v>103</v>
      </c>
      <c r="M50" s="36">
        <v>0</v>
      </c>
      <c r="N50" s="38">
        <f t="shared" si="1"/>
        <v>0</v>
      </c>
    </row>
    <row r="51" spans="1:14" x14ac:dyDescent="0.2">
      <c r="A51" s="42" t="s">
        <v>1451</v>
      </c>
      <c r="B51" s="42" t="s">
        <v>117</v>
      </c>
      <c r="C51" s="42" t="s">
        <v>118</v>
      </c>
      <c r="D51" s="43">
        <v>45995</v>
      </c>
      <c r="E51" s="42" t="s">
        <v>1396</v>
      </c>
      <c r="F51" s="42" t="s">
        <v>34</v>
      </c>
      <c r="G51" s="42" t="s">
        <v>103</v>
      </c>
      <c r="H51" s="44">
        <v>56.49</v>
      </c>
      <c r="I51" s="44">
        <v>137.24</v>
      </c>
      <c r="J51" s="44">
        <v>18.7</v>
      </c>
      <c r="K51" s="45">
        <v>2.4300000000000002</v>
      </c>
      <c r="L51" s="42" t="s">
        <v>103</v>
      </c>
      <c r="M51" s="42">
        <v>1</v>
      </c>
      <c r="N51" s="46">
        <f t="shared" si="1"/>
        <v>20</v>
      </c>
    </row>
    <row r="52" spans="1:14" x14ac:dyDescent="0.2">
      <c r="A52" s="36" t="s">
        <v>1452</v>
      </c>
      <c r="B52" s="36" t="s">
        <v>364</v>
      </c>
      <c r="C52" s="36" t="s">
        <v>365</v>
      </c>
      <c r="D52" s="40">
        <v>45990</v>
      </c>
      <c r="E52" s="36" t="s">
        <v>1394</v>
      </c>
      <c r="F52" s="36" t="s">
        <v>34</v>
      </c>
      <c r="G52" s="36" t="s">
        <v>102</v>
      </c>
      <c r="H52" s="37">
        <v>140.82</v>
      </c>
      <c r="I52" s="37">
        <v>272.61</v>
      </c>
      <c r="J52" s="37">
        <v>49.28</v>
      </c>
      <c r="K52" s="41">
        <v>1.94</v>
      </c>
      <c r="L52" s="36" t="s">
        <v>103</v>
      </c>
      <c r="M52" s="36">
        <v>1</v>
      </c>
      <c r="N52" s="38">
        <f t="shared" si="1"/>
        <v>0</v>
      </c>
    </row>
    <row r="53" spans="1:14" x14ac:dyDescent="0.2">
      <c r="A53" s="42" t="s">
        <v>1453</v>
      </c>
      <c r="B53" s="42" t="s">
        <v>751</v>
      </c>
      <c r="C53" s="42" t="s">
        <v>752</v>
      </c>
      <c r="D53" s="43">
        <v>45877</v>
      </c>
      <c r="E53" s="42" t="s">
        <v>1401</v>
      </c>
      <c r="F53" s="42" t="s">
        <v>34</v>
      </c>
      <c r="G53" s="42" t="s">
        <v>102</v>
      </c>
      <c r="H53" s="44">
        <v>84.26</v>
      </c>
      <c r="I53" s="44">
        <v>249.93</v>
      </c>
      <c r="J53" s="44">
        <v>26.61</v>
      </c>
      <c r="K53" s="45">
        <v>2.97</v>
      </c>
      <c r="L53" s="42" t="s">
        <v>103</v>
      </c>
      <c r="M53" s="42">
        <v>0</v>
      </c>
      <c r="N53" s="46">
        <f t="shared" si="1"/>
        <v>0</v>
      </c>
    </row>
    <row r="54" spans="1:14" x14ac:dyDescent="0.2">
      <c r="A54" s="36" t="s">
        <v>1454</v>
      </c>
      <c r="B54" s="36" t="s">
        <v>878</v>
      </c>
      <c r="C54" s="36" t="s">
        <v>879</v>
      </c>
      <c r="D54" s="40">
        <v>45959</v>
      </c>
      <c r="E54" s="36" t="s">
        <v>1404</v>
      </c>
      <c r="F54" s="36" t="s">
        <v>34</v>
      </c>
      <c r="G54" s="36" t="s">
        <v>102</v>
      </c>
      <c r="H54" s="37">
        <v>245.29</v>
      </c>
      <c r="I54" s="37">
        <v>797.49</v>
      </c>
      <c r="J54" s="37">
        <v>82.14</v>
      </c>
      <c r="K54" s="41">
        <v>3.25</v>
      </c>
      <c r="L54" s="36" t="s">
        <v>103</v>
      </c>
      <c r="M54" s="36">
        <v>0</v>
      </c>
      <c r="N54" s="38">
        <f t="shared" si="1"/>
        <v>0</v>
      </c>
    </row>
    <row r="55" spans="1:14" x14ac:dyDescent="0.2">
      <c r="A55" s="42" t="s">
        <v>1455</v>
      </c>
      <c r="B55" s="42" t="s">
        <v>185</v>
      </c>
      <c r="C55" s="42" t="s">
        <v>186</v>
      </c>
      <c r="D55" s="43">
        <v>45875</v>
      </c>
      <c r="E55" s="42" t="s">
        <v>1396</v>
      </c>
      <c r="F55" s="42" t="s">
        <v>34</v>
      </c>
      <c r="G55" s="42" t="s">
        <v>103</v>
      </c>
      <c r="H55" s="44">
        <v>57.49</v>
      </c>
      <c r="I55" s="44">
        <v>120.06</v>
      </c>
      <c r="J55" s="44">
        <v>5.35</v>
      </c>
      <c r="K55" s="45">
        <v>2.09</v>
      </c>
      <c r="L55" s="42" t="s">
        <v>103</v>
      </c>
      <c r="M55" s="42">
        <v>1</v>
      </c>
      <c r="N55" s="46">
        <f t="shared" si="1"/>
        <v>20</v>
      </c>
    </row>
    <row r="56" spans="1:14" x14ac:dyDescent="0.2">
      <c r="A56" s="36" t="s">
        <v>1456</v>
      </c>
      <c r="B56" s="36" t="s">
        <v>1002</v>
      </c>
      <c r="C56" s="36" t="s">
        <v>1003</v>
      </c>
      <c r="D56" s="40">
        <v>45803</v>
      </c>
      <c r="E56" s="36" t="s">
        <v>1410</v>
      </c>
      <c r="F56" s="36" t="s">
        <v>34</v>
      </c>
      <c r="G56" s="36" t="s">
        <v>102</v>
      </c>
      <c r="H56" s="37">
        <v>187.52</v>
      </c>
      <c r="I56" s="37">
        <v>425.31</v>
      </c>
      <c r="J56" s="37">
        <v>19.34</v>
      </c>
      <c r="K56" s="41">
        <v>2.27</v>
      </c>
      <c r="L56" s="36" t="s">
        <v>103</v>
      </c>
      <c r="M56" s="36">
        <v>0</v>
      </c>
      <c r="N56" s="38">
        <f t="shared" si="1"/>
        <v>0</v>
      </c>
    </row>
    <row r="57" spans="1:14" x14ac:dyDescent="0.2">
      <c r="A57" s="42" t="s">
        <v>1457</v>
      </c>
      <c r="B57" s="42" t="s">
        <v>854</v>
      </c>
      <c r="C57" s="42" t="s">
        <v>855</v>
      </c>
      <c r="D57" s="43">
        <v>46038</v>
      </c>
      <c r="E57" s="42" t="s">
        <v>1410</v>
      </c>
      <c r="F57" s="42" t="s">
        <v>34</v>
      </c>
      <c r="G57" s="42" t="s">
        <v>102</v>
      </c>
      <c r="H57" s="44">
        <v>241.04</v>
      </c>
      <c r="I57" s="44">
        <v>568.99</v>
      </c>
      <c r="J57" s="44">
        <v>11.36</v>
      </c>
      <c r="K57" s="45">
        <v>2.36</v>
      </c>
      <c r="L57" s="42" t="s">
        <v>103</v>
      </c>
      <c r="M57" s="42">
        <v>1</v>
      </c>
      <c r="N57" s="46">
        <f t="shared" si="1"/>
        <v>0</v>
      </c>
    </row>
    <row r="58" spans="1:14" x14ac:dyDescent="0.2">
      <c r="A58" s="36" t="s">
        <v>1458</v>
      </c>
      <c r="B58" s="36" t="s">
        <v>1047</v>
      </c>
      <c r="C58" s="36" t="s">
        <v>1048</v>
      </c>
      <c r="D58" s="40">
        <v>45993</v>
      </c>
      <c r="E58" s="36" t="s">
        <v>1410</v>
      </c>
      <c r="F58" s="36" t="s">
        <v>34</v>
      </c>
      <c r="G58" s="36" t="s">
        <v>102</v>
      </c>
      <c r="H58" s="37">
        <v>77.52</v>
      </c>
      <c r="I58" s="37">
        <v>230.36</v>
      </c>
      <c r="J58" s="37">
        <v>12.68</v>
      </c>
      <c r="K58" s="41">
        <v>2.97</v>
      </c>
      <c r="L58" s="36" t="s">
        <v>103</v>
      </c>
      <c r="M58" s="36">
        <v>0</v>
      </c>
      <c r="N58" s="38">
        <f t="shared" si="1"/>
        <v>0</v>
      </c>
    </row>
    <row r="59" spans="1:14" x14ac:dyDescent="0.2">
      <c r="A59" s="42" t="s">
        <v>1459</v>
      </c>
      <c r="B59" s="42" t="s">
        <v>252</v>
      </c>
      <c r="C59" s="42" t="s">
        <v>253</v>
      </c>
      <c r="D59" s="43">
        <v>45876</v>
      </c>
      <c r="E59" s="42" t="s">
        <v>1401</v>
      </c>
      <c r="F59" s="42" t="s">
        <v>34</v>
      </c>
      <c r="G59" s="42" t="s">
        <v>103</v>
      </c>
      <c r="H59" s="44">
        <v>202.44</v>
      </c>
      <c r="I59" s="44">
        <v>300.58</v>
      </c>
      <c r="J59" s="44">
        <v>69.23</v>
      </c>
      <c r="K59" s="45">
        <v>1.48</v>
      </c>
      <c r="L59" s="42" t="s">
        <v>103</v>
      </c>
      <c r="M59" s="42">
        <v>2</v>
      </c>
      <c r="N59" s="46">
        <f t="shared" si="1"/>
        <v>20</v>
      </c>
    </row>
    <row r="60" spans="1:14" x14ac:dyDescent="0.2">
      <c r="A60" s="36" t="s">
        <v>1460</v>
      </c>
      <c r="B60" s="36" t="s">
        <v>58</v>
      </c>
      <c r="C60" s="36" t="s">
        <v>59</v>
      </c>
      <c r="D60" s="40">
        <v>45845</v>
      </c>
      <c r="E60" s="36" t="s">
        <v>1404</v>
      </c>
      <c r="F60" s="36" t="s">
        <v>23</v>
      </c>
      <c r="G60" s="36" t="s">
        <v>102</v>
      </c>
      <c r="H60" s="37">
        <v>1301.3900000000001</v>
      </c>
      <c r="I60" s="37">
        <v>646.42999999999995</v>
      </c>
      <c r="J60" s="37">
        <v>936.01</v>
      </c>
      <c r="K60" s="41">
        <v>0.5</v>
      </c>
      <c r="L60" s="36" t="s">
        <v>318</v>
      </c>
      <c r="M60" s="36">
        <v>0</v>
      </c>
      <c r="N60" s="38">
        <f t="shared" si="1"/>
        <v>65</v>
      </c>
    </row>
    <row r="61" spans="1:14" x14ac:dyDescent="0.2">
      <c r="A61" s="42" t="s">
        <v>1461</v>
      </c>
      <c r="B61" s="42" t="s">
        <v>368</v>
      </c>
      <c r="C61" s="42" t="s">
        <v>369</v>
      </c>
      <c r="D61" s="43">
        <v>45905</v>
      </c>
      <c r="E61" s="42" t="s">
        <v>1398</v>
      </c>
      <c r="F61" s="42" t="s">
        <v>34</v>
      </c>
      <c r="G61" s="42" t="s">
        <v>102</v>
      </c>
      <c r="H61" s="44">
        <v>70.040000000000006</v>
      </c>
      <c r="I61" s="44">
        <v>161.76</v>
      </c>
      <c r="J61" s="44">
        <v>13.55</v>
      </c>
      <c r="K61" s="45">
        <v>2.31</v>
      </c>
      <c r="L61" s="42" t="s">
        <v>103</v>
      </c>
      <c r="M61" s="42">
        <v>1</v>
      </c>
      <c r="N61" s="46">
        <f t="shared" si="1"/>
        <v>0</v>
      </c>
    </row>
    <row r="62" spans="1:14" x14ac:dyDescent="0.2">
      <c r="A62" s="36" t="s">
        <v>1462</v>
      </c>
      <c r="B62" s="36" t="s">
        <v>311</v>
      </c>
      <c r="C62" s="36" t="s">
        <v>312</v>
      </c>
      <c r="D62" s="40">
        <v>45834</v>
      </c>
      <c r="E62" s="36" t="s">
        <v>1396</v>
      </c>
      <c r="F62" s="36" t="s">
        <v>30</v>
      </c>
      <c r="G62" s="36" t="s">
        <v>102</v>
      </c>
      <c r="H62" s="37">
        <v>236.77</v>
      </c>
      <c r="I62" s="37">
        <v>443.93</v>
      </c>
      <c r="J62" s="37">
        <v>13.08</v>
      </c>
      <c r="K62" s="41">
        <v>1.87</v>
      </c>
      <c r="L62" s="36" t="s">
        <v>103</v>
      </c>
      <c r="M62" s="36">
        <v>0</v>
      </c>
      <c r="N62" s="38">
        <f t="shared" si="1"/>
        <v>0</v>
      </c>
    </row>
    <row r="63" spans="1:14" x14ac:dyDescent="0.2">
      <c r="A63" s="42" t="s">
        <v>1463</v>
      </c>
      <c r="B63" s="42" t="s">
        <v>1011</v>
      </c>
      <c r="C63" s="42" t="s">
        <v>1012</v>
      </c>
      <c r="D63" s="43">
        <v>45718</v>
      </c>
      <c r="E63" s="42" t="s">
        <v>1407</v>
      </c>
      <c r="F63" s="42" t="s">
        <v>34</v>
      </c>
      <c r="G63" s="42" t="s">
        <v>102</v>
      </c>
      <c r="H63" s="44">
        <v>229.39</v>
      </c>
      <c r="I63" s="44">
        <v>460.11</v>
      </c>
      <c r="J63" s="44">
        <v>64.17</v>
      </c>
      <c r="K63" s="45">
        <v>2.0099999999999998</v>
      </c>
      <c r="L63" s="42" t="s">
        <v>103</v>
      </c>
      <c r="M63" s="42">
        <v>1</v>
      </c>
      <c r="N63" s="46">
        <f t="shared" si="1"/>
        <v>0</v>
      </c>
    </row>
    <row r="64" spans="1:14" x14ac:dyDescent="0.2">
      <c r="A64" s="36" t="s">
        <v>1464</v>
      </c>
      <c r="B64" s="36" t="s">
        <v>185</v>
      </c>
      <c r="C64" s="36" t="s">
        <v>186</v>
      </c>
      <c r="D64" s="40">
        <v>45767</v>
      </c>
      <c r="E64" s="36" t="s">
        <v>1404</v>
      </c>
      <c r="F64" s="36" t="s">
        <v>34</v>
      </c>
      <c r="G64" s="36" t="s">
        <v>103</v>
      </c>
      <c r="H64" s="37">
        <v>162.34</v>
      </c>
      <c r="I64" s="37">
        <v>474.43</v>
      </c>
      <c r="J64" s="37">
        <v>52</v>
      </c>
      <c r="K64" s="41">
        <v>2.92</v>
      </c>
      <c r="L64" s="36" t="s">
        <v>103</v>
      </c>
      <c r="M64" s="36">
        <v>1</v>
      </c>
      <c r="N64" s="38">
        <f t="shared" si="1"/>
        <v>20</v>
      </c>
    </row>
    <row r="65" spans="1:14" x14ac:dyDescent="0.2">
      <c r="A65" s="42" t="s">
        <v>1465</v>
      </c>
      <c r="B65" s="42" t="s">
        <v>423</v>
      </c>
      <c r="C65" s="42" t="s">
        <v>424</v>
      </c>
      <c r="D65" s="43">
        <v>46008</v>
      </c>
      <c r="E65" s="42" t="s">
        <v>1410</v>
      </c>
      <c r="F65" s="42" t="s">
        <v>34</v>
      </c>
      <c r="G65" s="42" t="s">
        <v>102</v>
      </c>
      <c r="H65" s="44">
        <v>217.9</v>
      </c>
      <c r="I65" s="44">
        <v>268.89</v>
      </c>
      <c r="J65" s="44">
        <v>84.07</v>
      </c>
      <c r="K65" s="45">
        <v>1.23</v>
      </c>
      <c r="L65" s="42" t="s">
        <v>103</v>
      </c>
      <c r="M65" s="42">
        <v>0</v>
      </c>
      <c r="N65" s="46">
        <f t="shared" si="1"/>
        <v>0</v>
      </c>
    </row>
    <row r="66" spans="1:14" x14ac:dyDescent="0.2">
      <c r="A66" s="36" t="s">
        <v>1466</v>
      </c>
      <c r="B66" s="36" t="s">
        <v>198</v>
      </c>
      <c r="C66" s="36" t="s">
        <v>199</v>
      </c>
      <c r="D66" s="40">
        <v>46079</v>
      </c>
      <c r="E66" s="36" t="s">
        <v>1410</v>
      </c>
      <c r="F66" s="36" t="s">
        <v>28</v>
      </c>
      <c r="G66" s="36" t="s">
        <v>102</v>
      </c>
      <c r="H66" s="37">
        <v>60.69</v>
      </c>
      <c r="I66" s="37">
        <v>200.27</v>
      </c>
      <c r="J66" s="37">
        <v>10.57</v>
      </c>
      <c r="K66" s="41">
        <v>3.3</v>
      </c>
      <c r="L66" s="36" t="s">
        <v>103</v>
      </c>
      <c r="M66" s="36">
        <v>0</v>
      </c>
      <c r="N66" s="38">
        <f t="shared" ref="N66:N97" si="2">IF(L66="YES",35,0)+IF(K66&lt;0.5,30,IF(K66&lt;1,15,0))+IF(G66="No",20,0)+IF(J66/H66&gt;0.6,15,0)</f>
        <v>0</v>
      </c>
    </row>
    <row r="67" spans="1:14" x14ac:dyDescent="0.2">
      <c r="A67" s="42" t="s">
        <v>1467</v>
      </c>
      <c r="B67" s="42" t="s">
        <v>216</v>
      </c>
      <c r="C67" s="42" t="s">
        <v>217</v>
      </c>
      <c r="D67" s="43">
        <v>45771</v>
      </c>
      <c r="E67" s="42" t="s">
        <v>1401</v>
      </c>
      <c r="F67" s="42" t="s">
        <v>34</v>
      </c>
      <c r="G67" s="42" t="s">
        <v>102</v>
      </c>
      <c r="H67" s="44">
        <v>123.83</v>
      </c>
      <c r="I67" s="44">
        <v>302.69</v>
      </c>
      <c r="J67" s="44">
        <v>35.89</v>
      </c>
      <c r="K67" s="45">
        <v>2.44</v>
      </c>
      <c r="L67" s="42" t="s">
        <v>103</v>
      </c>
      <c r="M67" s="42">
        <v>0</v>
      </c>
      <c r="N67" s="46">
        <f t="shared" si="2"/>
        <v>0</v>
      </c>
    </row>
    <row r="68" spans="1:14" x14ac:dyDescent="0.2">
      <c r="A68" s="36" t="s">
        <v>1468</v>
      </c>
      <c r="B68" s="36" t="s">
        <v>268</v>
      </c>
      <c r="C68" s="36" t="s">
        <v>269</v>
      </c>
      <c r="D68" s="40">
        <v>45993</v>
      </c>
      <c r="E68" s="36" t="s">
        <v>1396</v>
      </c>
      <c r="F68" s="36" t="s">
        <v>34</v>
      </c>
      <c r="G68" s="36" t="s">
        <v>102</v>
      </c>
      <c r="H68" s="37">
        <v>165.88</v>
      </c>
      <c r="I68" s="37">
        <v>451.42</v>
      </c>
      <c r="J68" s="37">
        <v>39.64</v>
      </c>
      <c r="K68" s="41">
        <v>2.72</v>
      </c>
      <c r="L68" s="36" t="s">
        <v>103</v>
      </c>
      <c r="M68" s="36">
        <v>0</v>
      </c>
      <c r="N68" s="38">
        <f t="shared" si="2"/>
        <v>0</v>
      </c>
    </row>
    <row r="69" spans="1:14" x14ac:dyDescent="0.2">
      <c r="A69" s="42" t="s">
        <v>1469</v>
      </c>
      <c r="B69" s="42" t="s">
        <v>673</v>
      </c>
      <c r="C69" s="42" t="s">
        <v>674</v>
      </c>
      <c r="D69" s="43">
        <v>45985</v>
      </c>
      <c r="E69" s="42" t="s">
        <v>1396</v>
      </c>
      <c r="F69" s="42" t="s">
        <v>34</v>
      </c>
      <c r="G69" s="42" t="s">
        <v>103</v>
      </c>
      <c r="H69" s="44">
        <v>158.41999999999999</v>
      </c>
      <c r="I69" s="44">
        <v>131.32</v>
      </c>
      <c r="J69" s="44">
        <v>53.9</v>
      </c>
      <c r="K69" s="45">
        <v>0.83</v>
      </c>
      <c r="L69" s="42" t="s">
        <v>103</v>
      </c>
      <c r="M69" s="42">
        <v>2</v>
      </c>
      <c r="N69" s="46">
        <f t="shared" si="2"/>
        <v>35</v>
      </c>
    </row>
    <row r="70" spans="1:14" x14ac:dyDescent="0.2">
      <c r="A70" s="36" t="s">
        <v>1470</v>
      </c>
      <c r="B70" s="36" t="s">
        <v>888</v>
      </c>
      <c r="C70" s="36" t="s">
        <v>889</v>
      </c>
      <c r="D70" s="40">
        <v>45804</v>
      </c>
      <c r="E70" s="36" t="s">
        <v>1394</v>
      </c>
      <c r="F70" s="36" t="s">
        <v>34</v>
      </c>
      <c r="G70" s="36" t="s">
        <v>102</v>
      </c>
      <c r="H70" s="37">
        <v>74.53</v>
      </c>
      <c r="I70" s="37">
        <v>217.38</v>
      </c>
      <c r="J70" s="37">
        <v>15.22</v>
      </c>
      <c r="K70" s="41">
        <v>2.92</v>
      </c>
      <c r="L70" s="36" t="s">
        <v>103</v>
      </c>
      <c r="M70" s="36">
        <v>0</v>
      </c>
      <c r="N70" s="38">
        <f t="shared" si="2"/>
        <v>0</v>
      </c>
    </row>
    <row r="71" spans="1:14" x14ac:dyDescent="0.2">
      <c r="A71" s="42" t="s">
        <v>1471</v>
      </c>
      <c r="B71" s="42" t="s">
        <v>71</v>
      </c>
      <c r="C71" s="42" t="s">
        <v>72</v>
      </c>
      <c r="D71" s="43">
        <v>45972</v>
      </c>
      <c r="E71" s="42" t="s">
        <v>1410</v>
      </c>
      <c r="F71" s="42" t="s">
        <v>34</v>
      </c>
      <c r="G71" s="42" t="s">
        <v>103</v>
      </c>
      <c r="H71" s="44">
        <v>67.459999999999994</v>
      </c>
      <c r="I71" s="44">
        <v>60.54</v>
      </c>
      <c r="J71" s="44">
        <v>6.46</v>
      </c>
      <c r="K71" s="45">
        <v>0.9</v>
      </c>
      <c r="L71" s="42" t="s">
        <v>103</v>
      </c>
      <c r="M71" s="42">
        <v>2</v>
      </c>
      <c r="N71" s="46">
        <f t="shared" si="2"/>
        <v>35</v>
      </c>
    </row>
    <row r="72" spans="1:14" x14ac:dyDescent="0.2">
      <c r="A72" s="36" t="s">
        <v>1472</v>
      </c>
      <c r="B72" s="36" t="s">
        <v>517</v>
      </c>
      <c r="C72" s="36" t="s">
        <v>518</v>
      </c>
      <c r="D72" s="40">
        <v>45702</v>
      </c>
      <c r="E72" s="36" t="s">
        <v>1401</v>
      </c>
      <c r="F72" s="36" t="s">
        <v>34</v>
      </c>
      <c r="G72" s="36" t="s">
        <v>102</v>
      </c>
      <c r="H72" s="37">
        <v>299.11</v>
      </c>
      <c r="I72" s="37">
        <v>868.95</v>
      </c>
      <c r="J72" s="37">
        <v>42.25</v>
      </c>
      <c r="K72" s="41">
        <v>2.91</v>
      </c>
      <c r="L72" s="36" t="s">
        <v>103</v>
      </c>
      <c r="M72" s="36">
        <v>0</v>
      </c>
      <c r="N72" s="38">
        <f t="shared" si="2"/>
        <v>0</v>
      </c>
    </row>
    <row r="73" spans="1:14" x14ac:dyDescent="0.2">
      <c r="A73" s="42" t="s">
        <v>1473</v>
      </c>
      <c r="B73" s="42" t="s">
        <v>683</v>
      </c>
      <c r="C73" s="42" t="s">
        <v>684</v>
      </c>
      <c r="D73" s="43">
        <v>45958</v>
      </c>
      <c r="E73" s="42" t="s">
        <v>1410</v>
      </c>
      <c r="F73" s="42" t="s">
        <v>23</v>
      </c>
      <c r="G73" s="42" t="s">
        <v>102</v>
      </c>
      <c r="H73" s="44">
        <v>76.09</v>
      </c>
      <c r="I73" s="44">
        <v>64.03</v>
      </c>
      <c r="J73" s="44">
        <v>21.42</v>
      </c>
      <c r="K73" s="45">
        <v>0.84</v>
      </c>
      <c r="L73" s="42" t="s">
        <v>103</v>
      </c>
      <c r="M73" s="42">
        <v>0</v>
      </c>
      <c r="N73" s="46">
        <f t="shared" si="2"/>
        <v>15</v>
      </c>
    </row>
    <row r="74" spans="1:14" x14ac:dyDescent="0.2">
      <c r="A74" s="36" t="s">
        <v>1474</v>
      </c>
      <c r="B74" s="36" t="s">
        <v>236</v>
      </c>
      <c r="C74" s="36" t="s">
        <v>237</v>
      </c>
      <c r="D74" s="40">
        <v>45803</v>
      </c>
      <c r="E74" s="36" t="s">
        <v>1398</v>
      </c>
      <c r="F74" s="36" t="s">
        <v>34</v>
      </c>
      <c r="G74" s="36" t="s">
        <v>102</v>
      </c>
      <c r="H74" s="37">
        <v>223.32</v>
      </c>
      <c r="I74" s="37">
        <v>515.78</v>
      </c>
      <c r="J74" s="37">
        <v>52.07</v>
      </c>
      <c r="K74" s="41">
        <v>2.31</v>
      </c>
      <c r="L74" s="36" t="s">
        <v>103</v>
      </c>
      <c r="M74" s="36">
        <v>1</v>
      </c>
      <c r="N74" s="38">
        <f t="shared" si="2"/>
        <v>0</v>
      </c>
    </row>
    <row r="75" spans="1:14" x14ac:dyDescent="0.2">
      <c r="A75" s="42" t="s">
        <v>1475</v>
      </c>
      <c r="B75" s="42" t="s">
        <v>208</v>
      </c>
      <c r="C75" s="42" t="s">
        <v>209</v>
      </c>
      <c r="D75" s="43">
        <v>45773</v>
      </c>
      <c r="E75" s="42" t="s">
        <v>1404</v>
      </c>
      <c r="F75" s="42" t="s">
        <v>30</v>
      </c>
      <c r="G75" s="42" t="s">
        <v>102</v>
      </c>
      <c r="H75" s="44">
        <v>189.78</v>
      </c>
      <c r="I75" s="44">
        <v>251.5</v>
      </c>
      <c r="J75" s="44">
        <v>70.58</v>
      </c>
      <c r="K75" s="45">
        <v>1.33</v>
      </c>
      <c r="L75" s="42" t="s">
        <v>103</v>
      </c>
      <c r="M75" s="42">
        <v>0</v>
      </c>
      <c r="N75" s="46">
        <f t="shared" si="2"/>
        <v>0</v>
      </c>
    </row>
    <row r="76" spans="1:14" x14ac:dyDescent="0.2">
      <c r="A76" s="36" t="s">
        <v>1476</v>
      </c>
      <c r="B76" s="36" t="s">
        <v>276</v>
      </c>
      <c r="C76" s="36" t="s">
        <v>277</v>
      </c>
      <c r="D76" s="40">
        <v>45791</v>
      </c>
      <c r="E76" s="36" t="s">
        <v>1404</v>
      </c>
      <c r="F76" s="36" t="s">
        <v>34</v>
      </c>
      <c r="G76" s="36" t="s">
        <v>102</v>
      </c>
      <c r="H76" s="37">
        <v>69.010000000000005</v>
      </c>
      <c r="I76" s="37">
        <v>149.53</v>
      </c>
      <c r="J76" s="37">
        <v>15.42</v>
      </c>
      <c r="K76" s="41">
        <v>2.17</v>
      </c>
      <c r="L76" s="36" t="s">
        <v>103</v>
      </c>
      <c r="M76" s="36">
        <v>0</v>
      </c>
      <c r="N76" s="38">
        <f t="shared" si="2"/>
        <v>0</v>
      </c>
    </row>
    <row r="77" spans="1:14" x14ac:dyDescent="0.2">
      <c r="A77" s="42" t="s">
        <v>1477</v>
      </c>
      <c r="B77" s="42" t="s">
        <v>1137</v>
      </c>
      <c r="C77" s="42" t="s">
        <v>1138</v>
      </c>
      <c r="D77" s="43">
        <v>45832</v>
      </c>
      <c r="E77" s="42" t="s">
        <v>1404</v>
      </c>
      <c r="F77" s="42" t="s">
        <v>34</v>
      </c>
      <c r="G77" s="42" t="s">
        <v>102</v>
      </c>
      <c r="H77" s="44">
        <v>285.16000000000003</v>
      </c>
      <c r="I77" s="44">
        <v>846.34</v>
      </c>
      <c r="J77" s="44">
        <v>109.13</v>
      </c>
      <c r="K77" s="45">
        <v>2.97</v>
      </c>
      <c r="L77" s="42" t="s">
        <v>103</v>
      </c>
      <c r="M77" s="42">
        <v>0</v>
      </c>
      <c r="N77" s="46">
        <f t="shared" si="2"/>
        <v>0</v>
      </c>
    </row>
    <row r="78" spans="1:14" x14ac:dyDescent="0.2">
      <c r="A78" s="36" t="s">
        <v>1478</v>
      </c>
      <c r="B78" s="36" t="s">
        <v>311</v>
      </c>
      <c r="C78" s="36" t="s">
        <v>312</v>
      </c>
      <c r="D78" s="40">
        <v>45786</v>
      </c>
      <c r="E78" s="36" t="s">
        <v>1396</v>
      </c>
      <c r="F78" s="36" t="s">
        <v>30</v>
      </c>
      <c r="G78" s="36" t="s">
        <v>102</v>
      </c>
      <c r="H78" s="37">
        <v>214.37</v>
      </c>
      <c r="I78" s="37">
        <v>730.65</v>
      </c>
      <c r="J78" s="37">
        <v>48.29</v>
      </c>
      <c r="K78" s="41">
        <v>3.41</v>
      </c>
      <c r="L78" s="36" t="s">
        <v>103</v>
      </c>
      <c r="M78" s="36">
        <v>0</v>
      </c>
      <c r="N78" s="38">
        <f t="shared" si="2"/>
        <v>0</v>
      </c>
    </row>
    <row r="79" spans="1:14" x14ac:dyDescent="0.2">
      <c r="A79" s="42" t="s">
        <v>1479</v>
      </c>
      <c r="B79" s="42" t="s">
        <v>202</v>
      </c>
      <c r="C79" s="42" t="s">
        <v>203</v>
      </c>
      <c r="D79" s="43">
        <v>46045</v>
      </c>
      <c r="E79" s="42" t="s">
        <v>1404</v>
      </c>
      <c r="F79" s="42" t="s">
        <v>34</v>
      </c>
      <c r="G79" s="42" t="s">
        <v>103</v>
      </c>
      <c r="H79" s="44">
        <v>115.11</v>
      </c>
      <c r="I79" s="44">
        <v>333.14</v>
      </c>
      <c r="J79" s="44">
        <v>31.38</v>
      </c>
      <c r="K79" s="45">
        <v>2.89</v>
      </c>
      <c r="L79" s="42" t="s">
        <v>103</v>
      </c>
      <c r="M79" s="42">
        <v>0</v>
      </c>
      <c r="N79" s="46">
        <f t="shared" si="2"/>
        <v>20</v>
      </c>
    </row>
    <row r="80" spans="1:14" x14ac:dyDescent="0.2">
      <c r="A80" s="36" t="s">
        <v>1480</v>
      </c>
      <c r="B80" s="36" t="s">
        <v>280</v>
      </c>
      <c r="C80" s="36" t="s">
        <v>281</v>
      </c>
      <c r="D80" s="40">
        <v>45904</v>
      </c>
      <c r="E80" s="36" t="s">
        <v>1407</v>
      </c>
      <c r="F80" s="36" t="s">
        <v>34</v>
      </c>
      <c r="G80" s="36" t="s">
        <v>102</v>
      </c>
      <c r="H80" s="37">
        <v>52.56</v>
      </c>
      <c r="I80" s="37">
        <v>51.63</v>
      </c>
      <c r="J80" s="37">
        <v>13.32</v>
      </c>
      <c r="K80" s="41">
        <v>0.98</v>
      </c>
      <c r="L80" s="36" t="s">
        <v>103</v>
      </c>
      <c r="M80" s="36">
        <v>0</v>
      </c>
      <c r="N80" s="38">
        <f t="shared" si="2"/>
        <v>15</v>
      </c>
    </row>
    <row r="81" spans="1:14" x14ac:dyDescent="0.2">
      <c r="A81" s="42" t="s">
        <v>1481</v>
      </c>
      <c r="B81" s="42" t="s">
        <v>364</v>
      </c>
      <c r="C81" s="42" t="s">
        <v>365</v>
      </c>
      <c r="D81" s="43">
        <v>46017</v>
      </c>
      <c r="E81" s="42" t="s">
        <v>1404</v>
      </c>
      <c r="F81" s="42" t="s">
        <v>34</v>
      </c>
      <c r="G81" s="42" t="s">
        <v>102</v>
      </c>
      <c r="H81" s="44">
        <v>84.38</v>
      </c>
      <c r="I81" s="44">
        <v>139.44</v>
      </c>
      <c r="J81" s="44">
        <v>32.25</v>
      </c>
      <c r="K81" s="45">
        <v>1.65</v>
      </c>
      <c r="L81" s="42" t="s">
        <v>103</v>
      </c>
      <c r="M81" s="42">
        <v>1</v>
      </c>
      <c r="N81" s="46">
        <f t="shared" si="2"/>
        <v>0</v>
      </c>
    </row>
    <row r="82" spans="1:14" x14ac:dyDescent="0.2">
      <c r="A82" s="36" t="s">
        <v>1482</v>
      </c>
      <c r="B82" s="36" t="s">
        <v>581</v>
      </c>
      <c r="C82" s="36" t="s">
        <v>582</v>
      </c>
      <c r="D82" s="40">
        <v>45662</v>
      </c>
      <c r="E82" s="36" t="s">
        <v>1401</v>
      </c>
      <c r="F82" s="36" t="s">
        <v>34</v>
      </c>
      <c r="G82" s="36" t="s">
        <v>102</v>
      </c>
      <c r="H82" s="37">
        <v>216.23</v>
      </c>
      <c r="I82" s="37">
        <v>326.73</v>
      </c>
      <c r="J82" s="37">
        <v>24.85</v>
      </c>
      <c r="K82" s="41">
        <v>1.51</v>
      </c>
      <c r="L82" s="36" t="s">
        <v>103</v>
      </c>
      <c r="M82" s="36">
        <v>0</v>
      </c>
      <c r="N82" s="38">
        <f t="shared" si="2"/>
        <v>0</v>
      </c>
    </row>
    <row r="83" spans="1:14" x14ac:dyDescent="0.2">
      <c r="A83" s="42" t="s">
        <v>1483</v>
      </c>
      <c r="B83" s="42" t="s">
        <v>791</v>
      </c>
      <c r="C83" s="42" t="s">
        <v>792</v>
      </c>
      <c r="D83" s="43">
        <v>46041</v>
      </c>
      <c r="E83" s="42" t="s">
        <v>1401</v>
      </c>
      <c r="F83" s="42" t="s">
        <v>34</v>
      </c>
      <c r="G83" s="42" t="s">
        <v>102</v>
      </c>
      <c r="H83" s="44">
        <v>249.9</v>
      </c>
      <c r="I83" s="44">
        <v>251.22</v>
      </c>
      <c r="J83" s="44">
        <v>93.1</v>
      </c>
      <c r="K83" s="45">
        <v>1.01</v>
      </c>
      <c r="L83" s="42" t="s">
        <v>103</v>
      </c>
      <c r="M83" s="42">
        <v>0</v>
      </c>
      <c r="N83" s="46">
        <f t="shared" si="2"/>
        <v>0</v>
      </c>
    </row>
    <row r="84" spans="1:14" x14ac:dyDescent="0.2">
      <c r="A84" s="36" t="s">
        <v>1484</v>
      </c>
      <c r="B84" s="36" t="s">
        <v>468</v>
      </c>
      <c r="C84" s="36" t="s">
        <v>469</v>
      </c>
      <c r="D84" s="40">
        <v>45839</v>
      </c>
      <c r="E84" s="36" t="s">
        <v>1394</v>
      </c>
      <c r="F84" s="36" t="s">
        <v>28</v>
      </c>
      <c r="G84" s="36" t="s">
        <v>103</v>
      </c>
      <c r="H84" s="37">
        <v>81.2</v>
      </c>
      <c r="I84" s="37">
        <v>190.74</v>
      </c>
      <c r="J84" s="37">
        <v>5.94</v>
      </c>
      <c r="K84" s="41">
        <v>2.35</v>
      </c>
      <c r="L84" s="36" t="s">
        <v>103</v>
      </c>
      <c r="M84" s="36">
        <v>0</v>
      </c>
      <c r="N84" s="38">
        <f t="shared" si="2"/>
        <v>20</v>
      </c>
    </row>
    <row r="85" spans="1:14" x14ac:dyDescent="0.2">
      <c r="A85" s="42" t="s">
        <v>1485</v>
      </c>
      <c r="B85" s="42" t="s">
        <v>336</v>
      </c>
      <c r="C85" s="42" t="s">
        <v>337</v>
      </c>
      <c r="D85" s="43">
        <v>45755</v>
      </c>
      <c r="E85" s="42" t="s">
        <v>1396</v>
      </c>
      <c r="F85" s="42" t="s">
        <v>34</v>
      </c>
      <c r="G85" s="42" t="s">
        <v>103</v>
      </c>
      <c r="H85" s="44">
        <v>159.72</v>
      </c>
      <c r="I85" s="44">
        <v>213.88</v>
      </c>
      <c r="J85" s="44">
        <v>46.99</v>
      </c>
      <c r="K85" s="45">
        <v>1.34</v>
      </c>
      <c r="L85" s="42" t="s">
        <v>103</v>
      </c>
      <c r="M85" s="42">
        <v>0</v>
      </c>
      <c r="N85" s="46">
        <f t="shared" si="2"/>
        <v>20</v>
      </c>
    </row>
    <row r="86" spans="1:14" x14ac:dyDescent="0.2">
      <c r="A86" s="36" t="s">
        <v>1486</v>
      </c>
      <c r="B86" s="36" t="s">
        <v>216</v>
      </c>
      <c r="C86" s="36" t="s">
        <v>217</v>
      </c>
      <c r="D86" s="40">
        <v>45763</v>
      </c>
      <c r="E86" s="36" t="s">
        <v>1398</v>
      </c>
      <c r="F86" s="36" t="s">
        <v>34</v>
      </c>
      <c r="G86" s="36" t="s">
        <v>102</v>
      </c>
      <c r="H86" s="37">
        <v>84.18</v>
      </c>
      <c r="I86" s="37">
        <v>257.11</v>
      </c>
      <c r="J86" s="37">
        <v>28.16</v>
      </c>
      <c r="K86" s="41">
        <v>3.05</v>
      </c>
      <c r="L86" s="36" t="s">
        <v>103</v>
      </c>
      <c r="M86" s="36">
        <v>0</v>
      </c>
      <c r="N86" s="38">
        <f t="shared" si="2"/>
        <v>0</v>
      </c>
    </row>
    <row r="87" spans="1:14" x14ac:dyDescent="0.2">
      <c r="A87" s="42" t="s">
        <v>1487</v>
      </c>
      <c r="B87" s="42" t="s">
        <v>252</v>
      </c>
      <c r="C87" s="42" t="s">
        <v>253</v>
      </c>
      <c r="D87" s="43">
        <v>46056</v>
      </c>
      <c r="E87" s="42" t="s">
        <v>1394</v>
      </c>
      <c r="F87" s="42" t="s">
        <v>34</v>
      </c>
      <c r="G87" s="42" t="s">
        <v>103</v>
      </c>
      <c r="H87" s="44">
        <v>49.87</v>
      </c>
      <c r="I87" s="44">
        <v>163.80000000000001</v>
      </c>
      <c r="J87" s="44">
        <v>13.48</v>
      </c>
      <c r="K87" s="45">
        <v>3.28</v>
      </c>
      <c r="L87" s="42" t="s">
        <v>103</v>
      </c>
      <c r="M87" s="42">
        <v>2</v>
      </c>
      <c r="N87" s="46">
        <f t="shared" si="2"/>
        <v>20</v>
      </c>
    </row>
    <row r="88" spans="1:14" x14ac:dyDescent="0.2">
      <c r="A88" s="36" t="s">
        <v>1488</v>
      </c>
      <c r="B88" s="36" t="s">
        <v>1489</v>
      </c>
      <c r="C88" s="36" t="s">
        <v>1490</v>
      </c>
      <c r="D88" s="40">
        <v>45972</v>
      </c>
      <c r="E88" s="36" t="s">
        <v>1396</v>
      </c>
      <c r="F88" s="36" t="s">
        <v>30</v>
      </c>
      <c r="G88" s="36" t="s">
        <v>103</v>
      </c>
      <c r="H88" s="37">
        <v>21.85</v>
      </c>
      <c r="I88" s="37">
        <v>68.040000000000006</v>
      </c>
      <c r="J88" s="37">
        <v>8.3699999999999992</v>
      </c>
      <c r="K88" s="41">
        <v>3.11</v>
      </c>
      <c r="L88" s="36" t="s">
        <v>103</v>
      </c>
      <c r="M88" s="36">
        <v>1</v>
      </c>
      <c r="N88" s="38">
        <f t="shared" si="2"/>
        <v>20</v>
      </c>
    </row>
    <row r="89" spans="1:14" x14ac:dyDescent="0.2">
      <c r="A89" s="42" t="s">
        <v>1491</v>
      </c>
      <c r="B89" s="42" t="s">
        <v>117</v>
      </c>
      <c r="C89" s="42" t="s">
        <v>118</v>
      </c>
      <c r="D89" s="43">
        <v>45848</v>
      </c>
      <c r="E89" s="42" t="s">
        <v>1404</v>
      </c>
      <c r="F89" s="42" t="s">
        <v>34</v>
      </c>
      <c r="G89" s="42" t="s">
        <v>103</v>
      </c>
      <c r="H89" s="44">
        <v>193.79</v>
      </c>
      <c r="I89" s="44">
        <v>412.64</v>
      </c>
      <c r="J89" s="44">
        <v>76.38</v>
      </c>
      <c r="K89" s="45">
        <v>2.13</v>
      </c>
      <c r="L89" s="42" t="s">
        <v>103</v>
      </c>
      <c r="M89" s="42">
        <v>1</v>
      </c>
      <c r="N89" s="46">
        <f t="shared" si="2"/>
        <v>20</v>
      </c>
    </row>
    <row r="90" spans="1:14" x14ac:dyDescent="0.2">
      <c r="A90" s="36" t="s">
        <v>1492</v>
      </c>
      <c r="B90" s="36" t="s">
        <v>208</v>
      </c>
      <c r="C90" s="36" t="s">
        <v>209</v>
      </c>
      <c r="D90" s="40">
        <v>45909</v>
      </c>
      <c r="E90" s="36" t="s">
        <v>1401</v>
      </c>
      <c r="F90" s="36" t="s">
        <v>30</v>
      </c>
      <c r="G90" s="36" t="s">
        <v>102</v>
      </c>
      <c r="H90" s="37">
        <v>71.2</v>
      </c>
      <c r="I90" s="37">
        <v>203.88</v>
      </c>
      <c r="J90" s="37">
        <v>14.56</v>
      </c>
      <c r="K90" s="41">
        <v>2.86</v>
      </c>
      <c r="L90" s="36" t="s">
        <v>103</v>
      </c>
      <c r="M90" s="36">
        <v>0</v>
      </c>
      <c r="N90" s="38">
        <f t="shared" si="2"/>
        <v>0</v>
      </c>
    </row>
    <row r="91" spans="1:14" x14ac:dyDescent="0.2">
      <c r="A91" s="42" t="s">
        <v>1493</v>
      </c>
      <c r="B91" s="42" t="s">
        <v>1208</v>
      </c>
      <c r="C91" s="42" t="s">
        <v>1209</v>
      </c>
      <c r="D91" s="43">
        <v>46042</v>
      </c>
      <c r="E91" s="42" t="s">
        <v>1401</v>
      </c>
      <c r="F91" s="42" t="s">
        <v>32</v>
      </c>
      <c r="G91" s="42" t="s">
        <v>102</v>
      </c>
      <c r="H91" s="44">
        <v>181.47</v>
      </c>
      <c r="I91" s="44">
        <v>171.71</v>
      </c>
      <c r="J91" s="44">
        <v>58.02</v>
      </c>
      <c r="K91" s="45">
        <v>0.95</v>
      </c>
      <c r="L91" s="42" t="s">
        <v>103</v>
      </c>
      <c r="M91" s="42">
        <v>0</v>
      </c>
      <c r="N91" s="46">
        <f t="shared" si="2"/>
        <v>15</v>
      </c>
    </row>
    <row r="92" spans="1:14" x14ac:dyDescent="0.2">
      <c r="A92" s="36" t="s">
        <v>1494</v>
      </c>
      <c r="B92" s="36" t="s">
        <v>924</v>
      </c>
      <c r="C92" s="36" t="s">
        <v>925</v>
      </c>
      <c r="D92" s="40">
        <v>45674</v>
      </c>
      <c r="E92" s="36" t="s">
        <v>1407</v>
      </c>
      <c r="F92" s="36" t="s">
        <v>23</v>
      </c>
      <c r="G92" s="36" t="s">
        <v>102</v>
      </c>
      <c r="H92" s="37">
        <v>160.69</v>
      </c>
      <c r="I92" s="37">
        <v>299.37</v>
      </c>
      <c r="J92" s="37">
        <v>44.12</v>
      </c>
      <c r="K92" s="41">
        <v>1.86</v>
      </c>
      <c r="L92" s="36" t="s">
        <v>103</v>
      </c>
      <c r="M92" s="36">
        <v>1</v>
      </c>
      <c r="N92" s="38">
        <f t="shared" si="2"/>
        <v>0</v>
      </c>
    </row>
    <row r="93" spans="1:14" x14ac:dyDescent="0.2">
      <c r="A93" s="42" t="s">
        <v>1495</v>
      </c>
      <c r="B93" s="42" t="s">
        <v>959</v>
      </c>
      <c r="C93" s="42" t="s">
        <v>960</v>
      </c>
      <c r="D93" s="43">
        <v>45719</v>
      </c>
      <c r="E93" s="42" t="s">
        <v>1410</v>
      </c>
      <c r="F93" s="42" t="s">
        <v>26</v>
      </c>
      <c r="G93" s="42" t="s">
        <v>103</v>
      </c>
      <c r="H93" s="44">
        <v>215.51</v>
      </c>
      <c r="I93" s="44">
        <v>440.11</v>
      </c>
      <c r="J93" s="44">
        <v>59.41</v>
      </c>
      <c r="K93" s="45">
        <v>2.04</v>
      </c>
      <c r="L93" s="42" t="s">
        <v>103</v>
      </c>
      <c r="M93" s="42">
        <v>0</v>
      </c>
      <c r="N93" s="46">
        <f t="shared" si="2"/>
        <v>20</v>
      </c>
    </row>
    <row r="94" spans="1:14" x14ac:dyDescent="0.2">
      <c r="A94" s="36" t="s">
        <v>1496</v>
      </c>
      <c r="B94" s="36" t="s">
        <v>791</v>
      </c>
      <c r="C94" s="36" t="s">
        <v>792</v>
      </c>
      <c r="D94" s="40">
        <v>45765</v>
      </c>
      <c r="E94" s="36" t="s">
        <v>1396</v>
      </c>
      <c r="F94" s="36" t="s">
        <v>34</v>
      </c>
      <c r="G94" s="36" t="s">
        <v>102</v>
      </c>
      <c r="H94" s="37">
        <v>126.24</v>
      </c>
      <c r="I94" s="37">
        <v>135.33000000000001</v>
      </c>
      <c r="J94" s="37">
        <v>18.260000000000002</v>
      </c>
      <c r="K94" s="41">
        <v>1.07</v>
      </c>
      <c r="L94" s="36" t="s">
        <v>103</v>
      </c>
      <c r="M94" s="36">
        <v>0</v>
      </c>
      <c r="N94" s="38">
        <f t="shared" si="2"/>
        <v>0</v>
      </c>
    </row>
    <row r="95" spans="1:14" x14ac:dyDescent="0.2">
      <c r="A95" s="42" t="s">
        <v>1497</v>
      </c>
      <c r="B95" s="42" t="s">
        <v>40</v>
      </c>
      <c r="C95" s="42" t="s">
        <v>41</v>
      </c>
      <c r="D95" s="43">
        <v>45753</v>
      </c>
      <c r="E95" s="42" t="s">
        <v>1398</v>
      </c>
      <c r="F95" s="42" t="s">
        <v>34</v>
      </c>
      <c r="G95" s="42" t="s">
        <v>103</v>
      </c>
      <c r="H95" s="44">
        <v>1187.4100000000001</v>
      </c>
      <c r="I95" s="44">
        <v>231.37</v>
      </c>
      <c r="J95" s="44">
        <v>880.35</v>
      </c>
      <c r="K95" s="45">
        <v>0.19</v>
      </c>
      <c r="L95" s="42" t="s">
        <v>318</v>
      </c>
      <c r="M95" s="42">
        <v>1</v>
      </c>
      <c r="N95" s="46">
        <f t="shared" si="2"/>
        <v>100</v>
      </c>
    </row>
    <row r="96" spans="1:14" x14ac:dyDescent="0.2">
      <c r="A96" s="36" t="s">
        <v>1498</v>
      </c>
      <c r="B96" s="36" t="s">
        <v>669</v>
      </c>
      <c r="C96" s="36" t="s">
        <v>670</v>
      </c>
      <c r="D96" s="40">
        <v>45913</v>
      </c>
      <c r="E96" s="36" t="s">
        <v>1398</v>
      </c>
      <c r="F96" s="36" t="s">
        <v>30</v>
      </c>
      <c r="G96" s="36" t="s">
        <v>102</v>
      </c>
      <c r="H96" s="37">
        <v>138.69999999999999</v>
      </c>
      <c r="I96" s="37">
        <v>267.91000000000003</v>
      </c>
      <c r="J96" s="37">
        <v>41.73</v>
      </c>
      <c r="K96" s="41">
        <v>1.93</v>
      </c>
      <c r="L96" s="36" t="s">
        <v>103</v>
      </c>
      <c r="M96" s="36">
        <v>3</v>
      </c>
      <c r="N96" s="38">
        <f t="shared" si="2"/>
        <v>0</v>
      </c>
    </row>
    <row r="97" spans="1:14" x14ac:dyDescent="0.2">
      <c r="A97" s="42" t="s">
        <v>1499</v>
      </c>
      <c r="B97" s="42" t="s">
        <v>248</v>
      </c>
      <c r="C97" s="42" t="s">
        <v>249</v>
      </c>
      <c r="D97" s="43">
        <v>45801</v>
      </c>
      <c r="E97" s="42" t="s">
        <v>1394</v>
      </c>
      <c r="F97" s="42" t="s">
        <v>34</v>
      </c>
      <c r="G97" s="42" t="s">
        <v>102</v>
      </c>
      <c r="H97" s="44">
        <v>146.19999999999999</v>
      </c>
      <c r="I97" s="44">
        <v>342.52</v>
      </c>
      <c r="J97" s="44">
        <v>57.27</v>
      </c>
      <c r="K97" s="45">
        <v>2.34</v>
      </c>
      <c r="L97" s="42" t="s">
        <v>103</v>
      </c>
      <c r="M97" s="42">
        <v>1</v>
      </c>
      <c r="N97" s="46">
        <f t="shared" si="2"/>
        <v>0</v>
      </c>
    </row>
    <row r="98" spans="1:14" x14ac:dyDescent="0.2">
      <c r="A98" s="36" t="s">
        <v>1500</v>
      </c>
      <c r="B98" s="36" t="s">
        <v>1501</v>
      </c>
      <c r="C98" s="36" t="s">
        <v>1502</v>
      </c>
      <c r="D98" s="40">
        <v>46074</v>
      </c>
      <c r="E98" s="36" t="s">
        <v>1401</v>
      </c>
      <c r="F98" s="36" t="s">
        <v>34</v>
      </c>
      <c r="G98" s="36" t="s">
        <v>103</v>
      </c>
      <c r="H98" s="37">
        <v>47.96</v>
      </c>
      <c r="I98" s="37">
        <v>73.319999999999993</v>
      </c>
      <c r="J98" s="37">
        <v>4.5199999999999996</v>
      </c>
      <c r="K98" s="41">
        <v>1.53</v>
      </c>
      <c r="L98" s="36" t="s">
        <v>103</v>
      </c>
      <c r="M98" s="36">
        <v>0</v>
      </c>
      <c r="N98" s="38">
        <f t="shared" ref="N98:N129" si="3">IF(L98="YES",35,0)+IF(K98&lt;0.5,30,IF(K98&lt;1,15,0))+IF(G98="No",20,0)+IF(J98/H98&gt;0.6,15,0)</f>
        <v>20</v>
      </c>
    </row>
    <row r="99" spans="1:14" x14ac:dyDescent="0.2">
      <c r="A99" s="42" t="s">
        <v>1503</v>
      </c>
      <c r="B99" s="42" t="s">
        <v>767</v>
      </c>
      <c r="C99" s="42" t="s">
        <v>768</v>
      </c>
      <c r="D99" s="43">
        <v>45758</v>
      </c>
      <c r="E99" s="42" t="s">
        <v>1396</v>
      </c>
      <c r="F99" s="42" t="s">
        <v>26</v>
      </c>
      <c r="G99" s="42" t="s">
        <v>103</v>
      </c>
      <c r="H99" s="44">
        <v>60.84</v>
      </c>
      <c r="I99" s="44">
        <v>206.23</v>
      </c>
      <c r="J99" s="44">
        <v>3.64</v>
      </c>
      <c r="K99" s="45">
        <v>3.39</v>
      </c>
      <c r="L99" s="42" t="s">
        <v>103</v>
      </c>
      <c r="M99" s="42">
        <v>0</v>
      </c>
      <c r="N99" s="46">
        <f t="shared" si="3"/>
        <v>20</v>
      </c>
    </row>
    <row r="100" spans="1:14" x14ac:dyDescent="0.2">
      <c r="A100" s="36" t="s">
        <v>1504</v>
      </c>
      <c r="B100" s="36" t="s">
        <v>659</v>
      </c>
      <c r="C100" s="36" t="s">
        <v>660</v>
      </c>
      <c r="D100" s="40">
        <v>45748</v>
      </c>
      <c r="E100" s="36" t="s">
        <v>1394</v>
      </c>
      <c r="F100" s="36" t="s">
        <v>34</v>
      </c>
      <c r="G100" s="36" t="s">
        <v>102</v>
      </c>
      <c r="H100" s="37">
        <v>138.03</v>
      </c>
      <c r="I100" s="37">
        <v>160.54</v>
      </c>
      <c r="J100" s="37">
        <v>49.32</v>
      </c>
      <c r="K100" s="41">
        <v>1.1599999999999999</v>
      </c>
      <c r="L100" s="36" t="s">
        <v>103</v>
      </c>
      <c r="M100" s="36">
        <v>0</v>
      </c>
      <c r="N100" s="38">
        <f t="shared" si="3"/>
        <v>0</v>
      </c>
    </row>
    <row r="101" spans="1:14" x14ac:dyDescent="0.2">
      <c r="A101" s="42" t="s">
        <v>1505</v>
      </c>
      <c r="B101" s="42" t="s">
        <v>888</v>
      </c>
      <c r="C101" s="42" t="s">
        <v>889</v>
      </c>
      <c r="D101" s="43">
        <v>45931</v>
      </c>
      <c r="E101" s="42" t="s">
        <v>1404</v>
      </c>
      <c r="F101" s="42" t="s">
        <v>34</v>
      </c>
      <c r="G101" s="42" t="s">
        <v>102</v>
      </c>
      <c r="H101" s="44">
        <v>221.76</v>
      </c>
      <c r="I101" s="44">
        <v>647.63</v>
      </c>
      <c r="J101" s="44">
        <v>26.61</v>
      </c>
      <c r="K101" s="45">
        <v>2.92</v>
      </c>
      <c r="L101" s="42" t="s">
        <v>103</v>
      </c>
      <c r="M101" s="42">
        <v>0</v>
      </c>
      <c r="N101" s="46">
        <f t="shared" si="3"/>
        <v>0</v>
      </c>
    </row>
    <row r="102" spans="1:14" x14ac:dyDescent="0.2">
      <c r="A102" s="36" t="s">
        <v>1506</v>
      </c>
      <c r="B102" s="36" t="s">
        <v>939</v>
      </c>
      <c r="C102" s="36" t="s">
        <v>940</v>
      </c>
      <c r="D102" s="40">
        <v>45682</v>
      </c>
      <c r="E102" s="36" t="s">
        <v>1396</v>
      </c>
      <c r="F102" s="36" t="s">
        <v>20</v>
      </c>
      <c r="G102" s="36" t="s">
        <v>102</v>
      </c>
      <c r="H102" s="37">
        <v>131.55000000000001</v>
      </c>
      <c r="I102" s="37">
        <v>350.51</v>
      </c>
      <c r="J102" s="37">
        <v>3.16</v>
      </c>
      <c r="K102" s="41">
        <v>2.66</v>
      </c>
      <c r="L102" s="36" t="s">
        <v>103</v>
      </c>
      <c r="M102" s="36">
        <v>0</v>
      </c>
      <c r="N102" s="38">
        <f t="shared" si="3"/>
        <v>0</v>
      </c>
    </row>
    <row r="103" spans="1:14" x14ac:dyDescent="0.2">
      <c r="A103" s="42" t="s">
        <v>1507</v>
      </c>
      <c r="B103" s="42" t="s">
        <v>1266</v>
      </c>
      <c r="C103" s="42" t="s">
        <v>1267</v>
      </c>
      <c r="D103" s="43">
        <v>45901</v>
      </c>
      <c r="E103" s="42" t="s">
        <v>1398</v>
      </c>
      <c r="F103" s="42" t="s">
        <v>34</v>
      </c>
      <c r="G103" s="42" t="s">
        <v>102</v>
      </c>
      <c r="H103" s="44">
        <v>254.91</v>
      </c>
      <c r="I103" s="44">
        <v>270.20999999999998</v>
      </c>
      <c r="J103" s="44">
        <v>75.92</v>
      </c>
      <c r="K103" s="45">
        <v>1.06</v>
      </c>
      <c r="L103" s="42" t="s">
        <v>103</v>
      </c>
      <c r="M103" s="42">
        <v>0</v>
      </c>
      <c r="N103" s="46">
        <f t="shared" si="3"/>
        <v>0</v>
      </c>
    </row>
    <row r="104" spans="1:14" x14ac:dyDescent="0.2">
      <c r="A104" s="36" t="s">
        <v>1508</v>
      </c>
      <c r="B104" s="36" t="s">
        <v>495</v>
      </c>
      <c r="C104" s="36" t="s">
        <v>496</v>
      </c>
      <c r="D104" s="40">
        <v>45842</v>
      </c>
      <c r="E104" s="36" t="s">
        <v>1410</v>
      </c>
      <c r="F104" s="36" t="s">
        <v>32</v>
      </c>
      <c r="G104" s="36" t="s">
        <v>102</v>
      </c>
      <c r="H104" s="37">
        <v>176.9</v>
      </c>
      <c r="I104" s="37">
        <v>586.6</v>
      </c>
      <c r="J104" s="37">
        <v>18.239999999999998</v>
      </c>
      <c r="K104" s="41">
        <v>3.32</v>
      </c>
      <c r="L104" s="36" t="s">
        <v>103</v>
      </c>
      <c r="M104" s="36">
        <v>3</v>
      </c>
      <c r="N104" s="38">
        <f t="shared" si="3"/>
        <v>0</v>
      </c>
    </row>
    <row r="105" spans="1:14" x14ac:dyDescent="0.2">
      <c r="A105" s="42" t="s">
        <v>1509</v>
      </c>
      <c r="B105" s="42" t="s">
        <v>1053</v>
      </c>
      <c r="C105" s="42" t="s">
        <v>1054</v>
      </c>
      <c r="D105" s="43">
        <v>45720</v>
      </c>
      <c r="E105" s="42" t="s">
        <v>1404</v>
      </c>
      <c r="F105" s="42" t="s">
        <v>30</v>
      </c>
      <c r="G105" s="42" t="s">
        <v>102</v>
      </c>
      <c r="H105" s="44">
        <v>118.31</v>
      </c>
      <c r="I105" s="44">
        <v>311.73</v>
      </c>
      <c r="J105" s="44">
        <v>28.66</v>
      </c>
      <c r="K105" s="45">
        <v>2.63</v>
      </c>
      <c r="L105" s="42" t="s">
        <v>103</v>
      </c>
      <c r="M105" s="42">
        <v>0</v>
      </c>
      <c r="N105" s="46">
        <f t="shared" si="3"/>
        <v>0</v>
      </c>
    </row>
    <row r="106" spans="1:14" x14ac:dyDescent="0.2">
      <c r="A106" s="36" t="s">
        <v>1510</v>
      </c>
      <c r="B106" s="36" t="s">
        <v>311</v>
      </c>
      <c r="C106" s="36" t="s">
        <v>312</v>
      </c>
      <c r="D106" s="40">
        <v>45990</v>
      </c>
      <c r="E106" s="36" t="s">
        <v>1398</v>
      </c>
      <c r="F106" s="36" t="s">
        <v>30</v>
      </c>
      <c r="G106" s="36" t="s">
        <v>102</v>
      </c>
      <c r="H106" s="37">
        <v>201.76</v>
      </c>
      <c r="I106" s="37">
        <v>256.49</v>
      </c>
      <c r="J106" s="37">
        <v>62.97</v>
      </c>
      <c r="K106" s="41">
        <v>1.27</v>
      </c>
      <c r="L106" s="36" t="s">
        <v>103</v>
      </c>
      <c r="M106" s="36">
        <v>0</v>
      </c>
      <c r="N106" s="38">
        <f t="shared" si="3"/>
        <v>0</v>
      </c>
    </row>
    <row r="107" spans="1:14" x14ac:dyDescent="0.2">
      <c r="A107" s="42" t="s">
        <v>1511</v>
      </c>
      <c r="B107" s="42" t="s">
        <v>145</v>
      </c>
      <c r="C107" s="42" t="s">
        <v>146</v>
      </c>
      <c r="D107" s="43">
        <v>46002</v>
      </c>
      <c r="E107" s="42" t="s">
        <v>1410</v>
      </c>
      <c r="F107" s="42" t="s">
        <v>34</v>
      </c>
      <c r="G107" s="42" t="s">
        <v>102</v>
      </c>
      <c r="H107" s="44">
        <v>162.91999999999999</v>
      </c>
      <c r="I107" s="44">
        <v>471.13</v>
      </c>
      <c r="J107" s="44">
        <v>29.13</v>
      </c>
      <c r="K107" s="45">
        <v>2.89</v>
      </c>
      <c r="L107" s="42" t="s">
        <v>103</v>
      </c>
      <c r="M107" s="42">
        <v>2</v>
      </c>
      <c r="N107" s="46">
        <f t="shared" si="3"/>
        <v>0</v>
      </c>
    </row>
    <row r="108" spans="1:14" x14ac:dyDescent="0.2">
      <c r="A108" s="36" t="s">
        <v>1512</v>
      </c>
      <c r="B108" s="36" t="s">
        <v>767</v>
      </c>
      <c r="C108" s="36" t="s">
        <v>768</v>
      </c>
      <c r="D108" s="40">
        <v>45972</v>
      </c>
      <c r="E108" s="36" t="s">
        <v>1407</v>
      </c>
      <c r="F108" s="36" t="s">
        <v>26</v>
      </c>
      <c r="G108" s="36" t="s">
        <v>103</v>
      </c>
      <c r="H108" s="37">
        <v>100.23</v>
      </c>
      <c r="I108" s="37">
        <v>251.14</v>
      </c>
      <c r="J108" s="37">
        <v>5.81</v>
      </c>
      <c r="K108" s="41">
        <v>2.5099999999999998</v>
      </c>
      <c r="L108" s="36" t="s">
        <v>103</v>
      </c>
      <c r="M108" s="36">
        <v>0</v>
      </c>
      <c r="N108" s="38">
        <f t="shared" si="3"/>
        <v>20</v>
      </c>
    </row>
    <row r="109" spans="1:14" x14ac:dyDescent="0.2">
      <c r="A109" s="42" t="s">
        <v>1513</v>
      </c>
      <c r="B109" s="42" t="s">
        <v>491</v>
      </c>
      <c r="C109" s="42" t="s">
        <v>492</v>
      </c>
      <c r="D109" s="43">
        <v>46071</v>
      </c>
      <c r="E109" s="42" t="s">
        <v>1401</v>
      </c>
      <c r="F109" s="42" t="s">
        <v>34</v>
      </c>
      <c r="G109" s="42" t="s">
        <v>102</v>
      </c>
      <c r="H109" s="44">
        <v>280</v>
      </c>
      <c r="I109" s="44">
        <v>542.89</v>
      </c>
      <c r="J109" s="44">
        <v>68.58</v>
      </c>
      <c r="K109" s="45">
        <v>1.94</v>
      </c>
      <c r="L109" s="42" t="s">
        <v>103</v>
      </c>
      <c r="M109" s="42">
        <v>1</v>
      </c>
      <c r="N109" s="46">
        <f t="shared" si="3"/>
        <v>0</v>
      </c>
    </row>
    <row r="110" spans="1:14" x14ac:dyDescent="0.2">
      <c r="A110" s="36" t="s">
        <v>1514</v>
      </c>
      <c r="B110" s="36" t="s">
        <v>307</v>
      </c>
      <c r="C110" s="36" t="s">
        <v>308</v>
      </c>
      <c r="D110" s="40">
        <v>45698</v>
      </c>
      <c r="E110" s="36" t="s">
        <v>1398</v>
      </c>
      <c r="F110" s="36" t="s">
        <v>26</v>
      </c>
      <c r="G110" s="36" t="s">
        <v>102</v>
      </c>
      <c r="H110" s="37">
        <v>65.36</v>
      </c>
      <c r="I110" s="37">
        <v>92.56</v>
      </c>
      <c r="J110" s="37">
        <v>8.2799999999999994</v>
      </c>
      <c r="K110" s="41">
        <v>1.42</v>
      </c>
      <c r="L110" s="36" t="s">
        <v>103</v>
      </c>
      <c r="M110" s="36">
        <v>0</v>
      </c>
      <c r="N110" s="38">
        <f t="shared" si="3"/>
        <v>0</v>
      </c>
    </row>
    <row r="111" spans="1:14" x14ac:dyDescent="0.2">
      <c r="A111" s="42" t="s">
        <v>1515</v>
      </c>
      <c r="B111" s="42" t="s">
        <v>854</v>
      </c>
      <c r="C111" s="42" t="s">
        <v>855</v>
      </c>
      <c r="D111" s="43">
        <v>45794</v>
      </c>
      <c r="E111" s="42" t="s">
        <v>1396</v>
      </c>
      <c r="F111" s="42" t="s">
        <v>34</v>
      </c>
      <c r="G111" s="42" t="s">
        <v>102</v>
      </c>
      <c r="H111" s="44">
        <v>189.51</v>
      </c>
      <c r="I111" s="44">
        <v>353.95</v>
      </c>
      <c r="J111" s="44">
        <v>67.290000000000006</v>
      </c>
      <c r="K111" s="45">
        <v>1.87</v>
      </c>
      <c r="L111" s="42" t="s">
        <v>103</v>
      </c>
      <c r="M111" s="42">
        <v>1</v>
      </c>
      <c r="N111" s="46">
        <f t="shared" si="3"/>
        <v>0</v>
      </c>
    </row>
    <row r="112" spans="1:14" x14ac:dyDescent="0.2">
      <c r="A112" s="36" t="s">
        <v>1516</v>
      </c>
      <c r="B112" s="36" t="s">
        <v>495</v>
      </c>
      <c r="C112" s="36" t="s">
        <v>496</v>
      </c>
      <c r="D112" s="40">
        <v>46040</v>
      </c>
      <c r="E112" s="36" t="s">
        <v>1407</v>
      </c>
      <c r="F112" s="36" t="s">
        <v>32</v>
      </c>
      <c r="G112" s="36" t="s">
        <v>102</v>
      </c>
      <c r="H112" s="37">
        <v>184.34</v>
      </c>
      <c r="I112" s="37">
        <v>628.03</v>
      </c>
      <c r="J112" s="37">
        <v>30.53</v>
      </c>
      <c r="K112" s="41">
        <v>3.41</v>
      </c>
      <c r="L112" s="36" t="s">
        <v>103</v>
      </c>
      <c r="M112" s="36">
        <v>3</v>
      </c>
      <c r="N112" s="38">
        <f t="shared" si="3"/>
        <v>0</v>
      </c>
    </row>
    <row r="113" spans="1:14" x14ac:dyDescent="0.2">
      <c r="A113" s="42" t="s">
        <v>1517</v>
      </c>
      <c r="B113" s="42" t="s">
        <v>123</v>
      </c>
      <c r="C113" s="42" t="s">
        <v>124</v>
      </c>
      <c r="D113" s="43">
        <v>45722</v>
      </c>
      <c r="E113" s="42" t="s">
        <v>1394</v>
      </c>
      <c r="F113" s="42" t="s">
        <v>34</v>
      </c>
      <c r="G113" s="42" t="s">
        <v>102</v>
      </c>
      <c r="H113" s="44">
        <v>223.78</v>
      </c>
      <c r="I113" s="44">
        <v>579.02</v>
      </c>
      <c r="J113" s="44">
        <v>84.18</v>
      </c>
      <c r="K113" s="45">
        <v>2.59</v>
      </c>
      <c r="L113" s="42" t="s">
        <v>103</v>
      </c>
      <c r="M113" s="42">
        <v>0</v>
      </c>
      <c r="N113" s="46">
        <f t="shared" si="3"/>
        <v>0</v>
      </c>
    </row>
    <row r="114" spans="1:14" x14ac:dyDescent="0.2">
      <c r="A114" s="36" t="s">
        <v>1518</v>
      </c>
      <c r="B114" s="36" t="s">
        <v>154</v>
      </c>
      <c r="C114" s="36" t="s">
        <v>155</v>
      </c>
      <c r="D114" s="40">
        <v>45698</v>
      </c>
      <c r="E114" s="36" t="s">
        <v>1401</v>
      </c>
      <c r="F114" s="36" t="s">
        <v>23</v>
      </c>
      <c r="G114" s="36" t="s">
        <v>102</v>
      </c>
      <c r="H114" s="37">
        <v>78.959999999999994</v>
      </c>
      <c r="I114" s="37">
        <v>147.81</v>
      </c>
      <c r="J114" s="37">
        <v>3.02</v>
      </c>
      <c r="K114" s="41">
        <v>1.87</v>
      </c>
      <c r="L114" s="36" t="s">
        <v>103</v>
      </c>
      <c r="M114" s="36">
        <v>0</v>
      </c>
      <c r="N114" s="38">
        <f t="shared" si="3"/>
        <v>0</v>
      </c>
    </row>
    <row r="115" spans="1:14" x14ac:dyDescent="0.2">
      <c r="A115" s="42" t="s">
        <v>1519</v>
      </c>
      <c r="B115" s="42" t="s">
        <v>236</v>
      </c>
      <c r="C115" s="42" t="s">
        <v>237</v>
      </c>
      <c r="D115" s="43">
        <v>45685</v>
      </c>
      <c r="E115" s="42" t="s">
        <v>1410</v>
      </c>
      <c r="F115" s="42" t="s">
        <v>34</v>
      </c>
      <c r="G115" s="42" t="s">
        <v>102</v>
      </c>
      <c r="H115" s="44">
        <v>27.38</v>
      </c>
      <c r="I115" s="44">
        <v>51.25</v>
      </c>
      <c r="J115" s="44">
        <v>8.3800000000000008</v>
      </c>
      <c r="K115" s="45">
        <v>1.87</v>
      </c>
      <c r="L115" s="42" t="s">
        <v>103</v>
      </c>
      <c r="M115" s="42">
        <v>1</v>
      </c>
      <c r="N115" s="46">
        <f t="shared" si="3"/>
        <v>0</v>
      </c>
    </row>
    <row r="116" spans="1:14" x14ac:dyDescent="0.2">
      <c r="A116" s="36" t="s">
        <v>1520</v>
      </c>
      <c r="B116" s="36" t="s">
        <v>874</v>
      </c>
      <c r="C116" s="36" t="s">
        <v>875</v>
      </c>
      <c r="D116" s="40">
        <v>45792</v>
      </c>
      <c r="E116" s="36" t="s">
        <v>1401</v>
      </c>
      <c r="F116" s="36" t="s">
        <v>34</v>
      </c>
      <c r="G116" s="36" t="s">
        <v>102</v>
      </c>
      <c r="H116" s="37">
        <v>193.07</v>
      </c>
      <c r="I116" s="37">
        <v>198.41</v>
      </c>
      <c r="J116" s="37">
        <v>71.94</v>
      </c>
      <c r="K116" s="41">
        <v>1.03</v>
      </c>
      <c r="L116" s="36" t="s">
        <v>103</v>
      </c>
      <c r="M116" s="36">
        <v>1</v>
      </c>
      <c r="N116" s="38">
        <f t="shared" si="3"/>
        <v>0</v>
      </c>
    </row>
    <row r="117" spans="1:14" x14ac:dyDescent="0.2">
      <c r="A117" s="42" t="s">
        <v>1521</v>
      </c>
      <c r="B117" s="42" t="s">
        <v>1255</v>
      </c>
      <c r="C117" s="42" t="s">
        <v>1256</v>
      </c>
      <c r="D117" s="43">
        <v>45775</v>
      </c>
      <c r="E117" s="42" t="s">
        <v>1407</v>
      </c>
      <c r="F117" s="42" t="s">
        <v>32</v>
      </c>
      <c r="G117" s="42" t="s">
        <v>103</v>
      </c>
      <c r="H117" s="44">
        <v>89.27</v>
      </c>
      <c r="I117" s="44">
        <v>139.91</v>
      </c>
      <c r="J117" s="44">
        <v>22.37</v>
      </c>
      <c r="K117" s="45">
        <v>1.57</v>
      </c>
      <c r="L117" s="42" t="s">
        <v>103</v>
      </c>
      <c r="M117" s="42">
        <v>0</v>
      </c>
      <c r="N117" s="46">
        <f t="shared" si="3"/>
        <v>20</v>
      </c>
    </row>
    <row r="118" spans="1:14" x14ac:dyDescent="0.2">
      <c r="A118" s="36" t="s">
        <v>1522</v>
      </c>
      <c r="B118" s="36" t="s">
        <v>384</v>
      </c>
      <c r="C118" s="36" t="s">
        <v>385</v>
      </c>
      <c r="D118" s="40">
        <v>45745</v>
      </c>
      <c r="E118" s="36" t="s">
        <v>1398</v>
      </c>
      <c r="F118" s="36" t="s">
        <v>34</v>
      </c>
      <c r="G118" s="36" t="s">
        <v>102</v>
      </c>
      <c r="H118" s="37">
        <v>28</v>
      </c>
      <c r="I118" s="37">
        <v>72.56</v>
      </c>
      <c r="J118" s="37">
        <v>9.64</v>
      </c>
      <c r="K118" s="41">
        <v>2.59</v>
      </c>
      <c r="L118" s="36" t="s">
        <v>103</v>
      </c>
      <c r="M118" s="36">
        <v>0</v>
      </c>
      <c r="N118" s="38">
        <f t="shared" si="3"/>
        <v>0</v>
      </c>
    </row>
    <row r="119" spans="1:14" x14ac:dyDescent="0.2">
      <c r="A119" s="42" t="s">
        <v>1523</v>
      </c>
      <c r="B119" s="42" t="s">
        <v>1524</v>
      </c>
      <c r="C119" s="42" t="s">
        <v>1525</v>
      </c>
      <c r="D119" s="43">
        <v>45897</v>
      </c>
      <c r="E119" s="42" t="s">
        <v>1401</v>
      </c>
      <c r="F119" s="42" t="s">
        <v>34</v>
      </c>
      <c r="G119" s="42" t="s">
        <v>102</v>
      </c>
      <c r="H119" s="44">
        <v>292.99</v>
      </c>
      <c r="I119" s="44">
        <v>662.03</v>
      </c>
      <c r="J119" s="44">
        <v>31.93</v>
      </c>
      <c r="K119" s="45">
        <v>2.2599999999999998</v>
      </c>
      <c r="L119" s="42" t="s">
        <v>103</v>
      </c>
      <c r="M119" s="42">
        <v>1</v>
      </c>
      <c r="N119" s="46">
        <f t="shared" si="3"/>
        <v>0</v>
      </c>
    </row>
    <row r="120" spans="1:14" x14ac:dyDescent="0.2">
      <c r="A120" s="36" t="s">
        <v>1526</v>
      </c>
      <c r="B120" s="36" t="s">
        <v>947</v>
      </c>
      <c r="C120" s="36" t="s">
        <v>948</v>
      </c>
      <c r="D120" s="40">
        <v>46015</v>
      </c>
      <c r="E120" s="36" t="s">
        <v>1394</v>
      </c>
      <c r="F120" s="36" t="s">
        <v>32</v>
      </c>
      <c r="G120" s="36" t="s">
        <v>103</v>
      </c>
      <c r="H120" s="37">
        <v>171</v>
      </c>
      <c r="I120" s="37">
        <v>409.59</v>
      </c>
      <c r="J120" s="37">
        <v>31.23</v>
      </c>
      <c r="K120" s="41">
        <v>2.4</v>
      </c>
      <c r="L120" s="36" t="s">
        <v>103</v>
      </c>
      <c r="M120" s="36">
        <v>0</v>
      </c>
      <c r="N120" s="38">
        <f t="shared" si="3"/>
        <v>20</v>
      </c>
    </row>
    <row r="121" spans="1:14" x14ac:dyDescent="0.2">
      <c r="A121" s="42" t="s">
        <v>1527</v>
      </c>
      <c r="B121" s="42" t="s">
        <v>1123</v>
      </c>
      <c r="C121" s="42" t="s">
        <v>1124</v>
      </c>
      <c r="D121" s="43">
        <v>45946</v>
      </c>
      <c r="E121" s="42" t="s">
        <v>1398</v>
      </c>
      <c r="F121" s="42" t="s">
        <v>34</v>
      </c>
      <c r="G121" s="42" t="s">
        <v>102</v>
      </c>
      <c r="H121" s="44">
        <v>141.79</v>
      </c>
      <c r="I121" s="44">
        <v>358.36</v>
      </c>
      <c r="J121" s="44">
        <v>30.27</v>
      </c>
      <c r="K121" s="45">
        <v>2.5299999999999998</v>
      </c>
      <c r="L121" s="42" t="s">
        <v>103</v>
      </c>
      <c r="M121" s="42">
        <v>0</v>
      </c>
      <c r="N121" s="46">
        <f t="shared" si="3"/>
        <v>0</v>
      </c>
    </row>
    <row r="122" spans="1:14" x14ac:dyDescent="0.2">
      <c r="A122" s="36" t="s">
        <v>1528</v>
      </c>
      <c r="B122" s="36" t="s">
        <v>117</v>
      </c>
      <c r="C122" s="36" t="s">
        <v>118</v>
      </c>
      <c r="D122" s="40">
        <v>45934</v>
      </c>
      <c r="E122" s="36" t="s">
        <v>1401</v>
      </c>
      <c r="F122" s="36" t="s">
        <v>34</v>
      </c>
      <c r="G122" s="36" t="s">
        <v>103</v>
      </c>
      <c r="H122" s="37">
        <v>83.6</v>
      </c>
      <c r="I122" s="37">
        <v>87.09</v>
      </c>
      <c r="J122" s="37">
        <v>10.3</v>
      </c>
      <c r="K122" s="41">
        <v>1.04</v>
      </c>
      <c r="L122" s="36" t="s">
        <v>103</v>
      </c>
      <c r="M122" s="36">
        <v>1</v>
      </c>
      <c r="N122" s="38">
        <f t="shared" si="3"/>
        <v>20</v>
      </c>
    </row>
    <row r="123" spans="1:14" x14ac:dyDescent="0.2">
      <c r="A123" s="42" t="s">
        <v>1529</v>
      </c>
      <c r="B123" s="42" t="s">
        <v>40</v>
      </c>
      <c r="C123" s="42" t="s">
        <v>41</v>
      </c>
      <c r="D123" s="43">
        <v>45737</v>
      </c>
      <c r="E123" s="42" t="s">
        <v>1398</v>
      </c>
      <c r="F123" s="42" t="s">
        <v>34</v>
      </c>
      <c r="G123" s="42" t="s">
        <v>103</v>
      </c>
      <c r="H123" s="44">
        <v>746.43</v>
      </c>
      <c r="I123" s="44">
        <v>74.67</v>
      </c>
      <c r="J123" s="44">
        <v>630.45000000000005</v>
      </c>
      <c r="K123" s="45">
        <v>0.1</v>
      </c>
      <c r="L123" s="42" t="s">
        <v>103</v>
      </c>
      <c r="M123" s="42">
        <v>1</v>
      </c>
      <c r="N123" s="46">
        <f t="shared" si="3"/>
        <v>65</v>
      </c>
    </row>
    <row r="124" spans="1:14" x14ac:dyDescent="0.2">
      <c r="A124" s="36" t="s">
        <v>1530</v>
      </c>
      <c r="B124" s="36" t="s">
        <v>650</v>
      </c>
      <c r="C124" s="36" t="s">
        <v>651</v>
      </c>
      <c r="D124" s="40">
        <v>45898</v>
      </c>
      <c r="E124" s="36" t="s">
        <v>1396</v>
      </c>
      <c r="F124" s="36" t="s">
        <v>23</v>
      </c>
      <c r="G124" s="36" t="s">
        <v>102</v>
      </c>
      <c r="H124" s="37">
        <v>169.83</v>
      </c>
      <c r="I124" s="37">
        <v>451.23</v>
      </c>
      <c r="J124" s="37">
        <v>33.42</v>
      </c>
      <c r="K124" s="41">
        <v>2.66</v>
      </c>
      <c r="L124" s="36" t="s">
        <v>103</v>
      </c>
      <c r="M124" s="36">
        <v>2</v>
      </c>
      <c r="N124" s="38">
        <f t="shared" si="3"/>
        <v>0</v>
      </c>
    </row>
    <row r="125" spans="1:14" x14ac:dyDescent="0.2">
      <c r="A125" s="42" t="s">
        <v>1531</v>
      </c>
      <c r="B125" s="42" t="s">
        <v>228</v>
      </c>
      <c r="C125" s="42" t="s">
        <v>229</v>
      </c>
      <c r="D125" s="43">
        <v>45811</v>
      </c>
      <c r="E125" s="42" t="s">
        <v>1407</v>
      </c>
      <c r="F125" s="42" t="s">
        <v>34</v>
      </c>
      <c r="G125" s="42" t="s">
        <v>103</v>
      </c>
      <c r="H125" s="44">
        <v>22.56</v>
      </c>
      <c r="I125" s="44">
        <v>44.27</v>
      </c>
      <c r="J125" s="44">
        <v>2.64</v>
      </c>
      <c r="K125" s="45">
        <v>1.96</v>
      </c>
      <c r="L125" s="42" t="s">
        <v>103</v>
      </c>
      <c r="M125" s="42">
        <v>0</v>
      </c>
      <c r="N125" s="46">
        <f t="shared" si="3"/>
        <v>20</v>
      </c>
    </row>
    <row r="126" spans="1:14" x14ac:dyDescent="0.2">
      <c r="A126" s="36" t="s">
        <v>1532</v>
      </c>
      <c r="B126" s="36" t="s">
        <v>276</v>
      </c>
      <c r="C126" s="36" t="s">
        <v>277</v>
      </c>
      <c r="D126" s="40">
        <v>45938</v>
      </c>
      <c r="E126" s="36" t="s">
        <v>1401</v>
      </c>
      <c r="F126" s="36" t="s">
        <v>34</v>
      </c>
      <c r="G126" s="36" t="s">
        <v>102</v>
      </c>
      <c r="H126" s="37">
        <v>124.62</v>
      </c>
      <c r="I126" s="37">
        <v>238.23</v>
      </c>
      <c r="J126" s="37">
        <v>27.94</v>
      </c>
      <c r="K126" s="41">
        <v>1.91</v>
      </c>
      <c r="L126" s="36" t="s">
        <v>103</v>
      </c>
      <c r="M126" s="36">
        <v>0</v>
      </c>
      <c r="N126" s="38">
        <f t="shared" si="3"/>
        <v>0</v>
      </c>
    </row>
    <row r="127" spans="1:14" x14ac:dyDescent="0.2">
      <c r="A127" s="42" t="s">
        <v>1533</v>
      </c>
      <c r="B127" s="42" t="s">
        <v>720</v>
      </c>
      <c r="C127" s="42" t="s">
        <v>721</v>
      </c>
      <c r="D127" s="43">
        <v>45741</v>
      </c>
      <c r="E127" s="42" t="s">
        <v>1407</v>
      </c>
      <c r="F127" s="42" t="s">
        <v>34</v>
      </c>
      <c r="G127" s="42" t="s">
        <v>102</v>
      </c>
      <c r="H127" s="44">
        <v>220.18</v>
      </c>
      <c r="I127" s="44">
        <v>560.17999999999995</v>
      </c>
      <c r="J127" s="44">
        <v>72.959999999999994</v>
      </c>
      <c r="K127" s="45">
        <v>2.54</v>
      </c>
      <c r="L127" s="42" t="s">
        <v>103</v>
      </c>
      <c r="M127" s="42">
        <v>0</v>
      </c>
      <c r="N127" s="46">
        <f t="shared" si="3"/>
        <v>0</v>
      </c>
    </row>
    <row r="128" spans="1:14" x14ac:dyDescent="0.2">
      <c r="A128" s="36" t="s">
        <v>1534</v>
      </c>
      <c r="B128" s="36" t="s">
        <v>216</v>
      </c>
      <c r="C128" s="36" t="s">
        <v>217</v>
      </c>
      <c r="D128" s="40">
        <v>45698</v>
      </c>
      <c r="E128" s="36" t="s">
        <v>1404</v>
      </c>
      <c r="F128" s="36" t="s">
        <v>34</v>
      </c>
      <c r="G128" s="36" t="s">
        <v>102</v>
      </c>
      <c r="H128" s="37">
        <v>138.22999999999999</v>
      </c>
      <c r="I128" s="37">
        <v>199.99</v>
      </c>
      <c r="J128" s="37">
        <v>42.27</v>
      </c>
      <c r="K128" s="41">
        <v>1.45</v>
      </c>
      <c r="L128" s="36" t="s">
        <v>103</v>
      </c>
      <c r="M128" s="36">
        <v>0</v>
      </c>
      <c r="N128" s="38">
        <f t="shared" si="3"/>
        <v>0</v>
      </c>
    </row>
    <row r="129" spans="1:14" x14ac:dyDescent="0.2">
      <c r="A129" s="42" t="s">
        <v>1535</v>
      </c>
      <c r="B129" s="42" t="s">
        <v>44</v>
      </c>
      <c r="C129" s="42" t="s">
        <v>45</v>
      </c>
      <c r="D129" s="43">
        <v>46008</v>
      </c>
      <c r="E129" s="42" t="s">
        <v>1407</v>
      </c>
      <c r="F129" s="42" t="s">
        <v>34</v>
      </c>
      <c r="G129" s="42" t="s">
        <v>103</v>
      </c>
      <c r="H129" s="44">
        <v>689.36</v>
      </c>
      <c r="I129" s="44">
        <v>247.74</v>
      </c>
      <c r="J129" s="44">
        <v>523.63</v>
      </c>
      <c r="K129" s="45">
        <v>0.36</v>
      </c>
      <c r="L129" s="42" t="s">
        <v>318</v>
      </c>
      <c r="M129" s="42">
        <v>1</v>
      </c>
      <c r="N129" s="46">
        <f t="shared" si="3"/>
        <v>100</v>
      </c>
    </row>
    <row r="130" spans="1:14" x14ac:dyDescent="0.2">
      <c r="A130" s="36" t="s">
        <v>1536</v>
      </c>
      <c r="B130" s="36" t="s">
        <v>447</v>
      </c>
      <c r="C130" s="36" t="s">
        <v>448</v>
      </c>
      <c r="D130" s="40">
        <v>45751</v>
      </c>
      <c r="E130" s="36" t="s">
        <v>1401</v>
      </c>
      <c r="F130" s="36" t="s">
        <v>30</v>
      </c>
      <c r="G130" s="36" t="s">
        <v>102</v>
      </c>
      <c r="H130" s="37">
        <v>58.25</v>
      </c>
      <c r="I130" s="37">
        <v>63.96</v>
      </c>
      <c r="J130" s="37">
        <v>10.61</v>
      </c>
      <c r="K130" s="41">
        <v>1.1000000000000001</v>
      </c>
      <c r="L130" s="36" t="s">
        <v>103</v>
      </c>
      <c r="M130" s="36">
        <v>0</v>
      </c>
      <c r="N130" s="38">
        <f t="shared" ref="N130:N161" si="4">IF(L130="YES",35,0)+IF(K130&lt;0.5,30,IF(K130&lt;1,15,0))+IF(G130="No",20,0)+IF(J130/H130&gt;0.6,15,0)</f>
        <v>0</v>
      </c>
    </row>
    <row r="131" spans="1:14" x14ac:dyDescent="0.2">
      <c r="A131" s="42" t="s">
        <v>1537</v>
      </c>
      <c r="B131" s="42" t="s">
        <v>665</v>
      </c>
      <c r="C131" s="42" t="s">
        <v>666</v>
      </c>
      <c r="D131" s="43">
        <v>46016</v>
      </c>
      <c r="E131" s="42" t="s">
        <v>1410</v>
      </c>
      <c r="F131" s="42" t="s">
        <v>34</v>
      </c>
      <c r="G131" s="42" t="s">
        <v>102</v>
      </c>
      <c r="H131" s="44">
        <v>194.37</v>
      </c>
      <c r="I131" s="44">
        <v>254.05</v>
      </c>
      <c r="J131" s="44">
        <v>1.51</v>
      </c>
      <c r="K131" s="45">
        <v>1.31</v>
      </c>
      <c r="L131" s="42" t="s">
        <v>103</v>
      </c>
      <c r="M131" s="42">
        <v>0</v>
      </c>
      <c r="N131" s="46">
        <f t="shared" si="4"/>
        <v>0</v>
      </c>
    </row>
    <row r="132" spans="1:14" x14ac:dyDescent="0.2">
      <c r="A132" s="36" t="s">
        <v>1538</v>
      </c>
      <c r="B132" s="36" t="s">
        <v>861</v>
      </c>
      <c r="C132" s="36" t="s">
        <v>862</v>
      </c>
      <c r="D132" s="40">
        <v>45669</v>
      </c>
      <c r="E132" s="36" t="s">
        <v>1394</v>
      </c>
      <c r="F132" s="36" t="s">
        <v>34</v>
      </c>
      <c r="G132" s="36" t="s">
        <v>102</v>
      </c>
      <c r="H132" s="37">
        <v>72.06</v>
      </c>
      <c r="I132" s="37">
        <v>77.55</v>
      </c>
      <c r="J132" s="37">
        <v>7.76</v>
      </c>
      <c r="K132" s="41">
        <v>1.08</v>
      </c>
      <c r="L132" s="36" t="s">
        <v>103</v>
      </c>
      <c r="M132" s="36">
        <v>0</v>
      </c>
      <c r="N132" s="38">
        <f t="shared" si="4"/>
        <v>0</v>
      </c>
    </row>
    <row r="133" spans="1:14" x14ac:dyDescent="0.2">
      <c r="A133" s="42" t="s">
        <v>1539</v>
      </c>
      <c r="B133" s="42" t="s">
        <v>62</v>
      </c>
      <c r="C133" s="42" t="s">
        <v>63</v>
      </c>
      <c r="D133" s="43">
        <v>46030</v>
      </c>
      <c r="E133" s="42" t="s">
        <v>1401</v>
      </c>
      <c r="F133" s="42" t="s">
        <v>34</v>
      </c>
      <c r="G133" s="42" t="s">
        <v>102</v>
      </c>
      <c r="H133" s="44">
        <v>214.77</v>
      </c>
      <c r="I133" s="44">
        <v>29.23</v>
      </c>
      <c r="J133" s="44">
        <v>129.81</v>
      </c>
      <c r="K133" s="45">
        <v>0.14000000000000001</v>
      </c>
      <c r="L133" s="42" t="s">
        <v>318</v>
      </c>
      <c r="M133" s="42">
        <v>0</v>
      </c>
      <c r="N133" s="46">
        <f t="shared" si="4"/>
        <v>80</v>
      </c>
    </row>
    <row r="134" spans="1:14" x14ac:dyDescent="0.2">
      <c r="A134" s="36" t="s">
        <v>1540</v>
      </c>
      <c r="B134" s="36" t="s">
        <v>1255</v>
      </c>
      <c r="C134" s="36" t="s">
        <v>1256</v>
      </c>
      <c r="D134" s="40">
        <v>46060</v>
      </c>
      <c r="E134" s="36" t="s">
        <v>1396</v>
      </c>
      <c r="F134" s="36" t="s">
        <v>32</v>
      </c>
      <c r="G134" s="36" t="s">
        <v>103</v>
      </c>
      <c r="H134" s="37">
        <v>243.85</v>
      </c>
      <c r="I134" s="37">
        <v>852.13</v>
      </c>
      <c r="J134" s="37">
        <v>45.23</v>
      </c>
      <c r="K134" s="41">
        <v>3.49</v>
      </c>
      <c r="L134" s="36" t="s">
        <v>103</v>
      </c>
      <c r="M134" s="36">
        <v>0</v>
      </c>
      <c r="N134" s="38">
        <f t="shared" si="4"/>
        <v>20</v>
      </c>
    </row>
    <row r="135" spans="1:14" x14ac:dyDescent="0.2">
      <c r="A135" s="42" t="s">
        <v>1541</v>
      </c>
      <c r="B135" s="42" t="s">
        <v>707</v>
      </c>
      <c r="C135" s="42" t="s">
        <v>708</v>
      </c>
      <c r="D135" s="43">
        <v>45827</v>
      </c>
      <c r="E135" s="42" t="s">
        <v>1398</v>
      </c>
      <c r="F135" s="42" t="s">
        <v>34</v>
      </c>
      <c r="G135" s="42" t="s">
        <v>102</v>
      </c>
      <c r="H135" s="44">
        <v>42.46</v>
      </c>
      <c r="I135" s="44">
        <v>120.01</v>
      </c>
      <c r="J135" s="44">
        <v>2.48</v>
      </c>
      <c r="K135" s="45">
        <v>2.83</v>
      </c>
      <c r="L135" s="42" t="s">
        <v>103</v>
      </c>
      <c r="M135" s="42">
        <v>0</v>
      </c>
      <c r="N135" s="46">
        <f t="shared" si="4"/>
        <v>0</v>
      </c>
    </row>
    <row r="136" spans="1:14" x14ac:dyDescent="0.2">
      <c r="A136" s="36" t="s">
        <v>1542</v>
      </c>
      <c r="B136" s="36" t="s">
        <v>73</v>
      </c>
      <c r="C136" s="36" t="s">
        <v>74</v>
      </c>
      <c r="D136" s="40">
        <v>45858</v>
      </c>
      <c r="E136" s="36" t="s">
        <v>1396</v>
      </c>
      <c r="F136" s="36" t="s">
        <v>34</v>
      </c>
      <c r="G136" s="36" t="s">
        <v>103</v>
      </c>
      <c r="H136" s="37">
        <v>39.99</v>
      </c>
      <c r="I136" s="37">
        <v>82.76</v>
      </c>
      <c r="J136" s="37">
        <v>3.07</v>
      </c>
      <c r="K136" s="41">
        <v>2.0699999999999998</v>
      </c>
      <c r="L136" s="36" t="s">
        <v>103</v>
      </c>
      <c r="M136" s="36">
        <v>0</v>
      </c>
      <c r="N136" s="38">
        <f t="shared" si="4"/>
        <v>20</v>
      </c>
    </row>
    <row r="137" spans="1:14" x14ac:dyDescent="0.2">
      <c r="A137" s="42" t="s">
        <v>1543</v>
      </c>
      <c r="B137" s="42" t="s">
        <v>1272</v>
      </c>
      <c r="C137" s="42" t="s">
        <v>1273</v>
      </c>
      <c r="D137" s="43">
        <v>46076</v>
      </c>
      <c r="E137" s="42" t="s">
        <v>1394</v>
      </c>
      <c r="F137" s="42" t="s">
        <v>34</v>
      </c>
      <c r="G137" s="42" t="s">
        <v>102</v>
      </c>
      <c r="H137" s="44">
        <v>126.84</v>
      </c>
      <c r="I137" s="44">
        <v>105.79</v>
      </c>
      <c r="J137" s="44">
        <v>49.45</v>
      </c>
      <c r="K137" s="45">
        <v>0.83</v>
      </c>
      <c r="L137" s="42" t="s">
        <v>103</v>
      </c>
      <c r="M137" s="42">
        <v>2</v>
      </c>
      <c r="N137" s="46">
        <f t="shared" si="4"/>
        <v>15</v>
      </c>
    </row>
    <row r="138" spans="1:14" x14ac:dyDescent="0.2">
      <c r="A138" s="36" t="s">
        <v>1544</v>
      </c>
      <c r="B138" s="36" t="s">
        <v>720</v>
      </c>
      <c r="C138" s="36" t="s">
        <v>721</v>
      </c>
      <c r="D138" s="40">
        <v>45855</v>
      </c>
      <c r="E138" s="36" t="s">
        <v>1410</v>
      </c>
      <c r="F138" s="36" t="s">
        <v>34</v>
      </c>
      <c r="G138" s="36" t="s">
        <v>102</v>
      </c>
      <c r="H138" s="37">
        <v>235.94</v>
      </c>
      <c r="I138" s="37">
        <v>470.93</v>
      </c>
      <c r="J138" s="37">
        <v>69.61</v>
      </c>
      <c r="K138" s="41">
        <v>2</v>
      </c>
      <c r="L138" s="36" t="s">
        <v>103</v>
      </c>
      <c r="M138" s="36">
        <v>0</v>
      </c>
      <c r="N138" s="38">
        <f t="shared" si="4"/>
        <v>0</v>
      </c>
    </row>
    <row r="139" spans="1:14" x14ac:dyDescent="0.2">
      <c r="A139" s="42" t="s">
        <v>1545</v>
      </c>
      <c r="B139" s="42" t="s">
        <v>1546</v>
      </c>
      <c r="C139" s="42" t="s">
        <v>1547</v>
      </c>
      <c r="D139" s="43">
        <v>45893</v>
      </c>
      <c r="E139" s="42" t="s">
        <v>1407</v>
      </c>
      <c r="F139" s="42" t="s">
        <v>34</v>
      </c>
      <c r="G139" s="42" t="s">
        <v>102</v>
      </c>
      <c r="H139" s="44">
        <v>225.89</v>
      </c>
      <c r="I139" s="44">
        <v>238.02</v>
      </c>
      <c r="J139" s="44">
        <v>60.18</v>
      </c>
      <c r="K139" s="45">
        <v>1.05</v>
      </c>
      <c r="L139" s="42" t="s">
        <v>103</v>
      </c>
      <c r="M139" s="42">
        <v>0</v>
      </c>
      <c r="N139" s="46">
        <f t="shared" si="4"/>
        <v>0</v>
      </c>
    </row>
    <row r="140" spans="1:14" x14ac:dyDescent="0.2">
      <c r="A140" s="36" t="s">
        <v>1548</v>
      </c>
      <c r="B140" s="36" t="s">
        <v>1524</v>
      </c>
      <c r="C140" s="36" t="s">
        <v>1525</v>
      </c>
      <c r="D140" s="40">
        <v>45857</v>
      </c>
      <c r="E140" s="36" t="s">
        <v>1394</v>
      </c>
      <c r="F140" s="36" t="s">
        <v>34</v>
      </c>
      <c r="G140" s="36" t="s">
        <v>102</v>
      </c>
      <c r="H140" s="37">
        <v>210.8</v>
      </c>
      <c r="I140" s="37">
        <v>346.28</v>
      </c>
      <c r="J140" s="37">
        <v>27.24</v>
      </c>
      <c r="K140" s="41">
        <v>1.64</v>
      </c>
      <c r="L140" s="36" t="s">
        <v>103</v>
      </c>
      <c r="M140" s="36">
        <v>1</v>
      </c>
      <c r="N140" s="38">
        <f t="shared" si="4"/>
        <v>0</v>
      </c>
    </row>
    <row r="141" spans="1:14" x14ac:dyDescent="0.2">
      <c r="A141" s="42" t="s">
        <v>1549</v>
      </c>
      <c r="B141" s="42" t="s">
        <v>477</v>
      </c>
      <c r="C141" s="42" t="s">
        <v>478</v>
      </c>
      <c r="D141" s="43">
        <v>45679</v>
      </c>
      <c r="E141" s="42" t="s">
        <v>1401</v>
      </c>
      <c r="F141" s="42" t="s">
        <v>23</v>
      </c>
      <c r="G141" s="42" t="s">
        <v>102</v>
      </c>
      <c r="H141" s="44">
        <v>228.52</v>
      </c>
      <c r="I141" s="44">
        <v>521.91</v>
      </c>
      <c r="J141" s="44">
        <v>11.16</v>
      </c>
      <c r="K141" s="45">
        <v>2.2799999999999998</v>
      </c>
      <c r="L141" s="42" t="s">
        <v>103</v>
      </c>
      <c r="M141" s="42">
        <v>1</v>
      </c>
      <c r="N141" s="46">
        <f t="shared" si="4"/>
        <v>0</v>
      </c>
    </row>
    <row r="142" spans="1:14" x14ac:dyDescent="0.2">
      <c r="A142" s="36" t="s">
        <v>1550</v>
      </c>
      <c r="B142" s="36" t="s">
        <v>491</v>
      </c>
      <c r="C142" s="36" t="s">
        <v>492</v>
      </c>
      <c r="D142" s="40">
        <v>45810</v>
      </c>
      <c r="E142" s="36" t="s">
        <v>1407</v>
      </c>
      <c r="F142" s="36" t="s">
        <v>34</v>
      </c>
      <c r="G142" s="36" t="s">
        <v>102</v>
      </c>
      <c r="H142" s="37">
        <v>75.64</v>
      </c>
      <c r="I142" s="37">
        <v>241.77</v>
      </c>
      <c r="J142" s="37">
        <v>26.13</v>
      </c>
      <c r="K142" s="41">
        <v>3.2</v>
      </c>
      <c r="L142" s="36" t="s">
        <v>103</v>
      </c>
      <c r="M142" s="36">
        <v>1</v>
      </c>
      <c r="N142" s="38">
        <f t="shared" si="4"/>
        <v>0</v>
      </c>
    </row>
    <row r="143" spans="1:14" x14ac:dyDescent="0.2">
      <c r="A143" s="42" t="s">
        <v>1551</v>
      </c>
      <c r="B143" s="42" t="s">
        <v>1296</v>
      </c>
      <c r="C143" s="42" t="s">
        <v>1297</v>
      </c>
      <c r="D143" s="43">
        <v>45778</v>
      </c>
      <c r="E143" s="42" t="s">
        <v>1398</v>
      </c>
      <c r="F143" s="42" t="s">
        <v>23</v>
      </c>
      <c r="G143" s="42" t="s">
        <v>102</v>
      </c>
      <c r="H143" s="44">
        <v>197.21</v>
      </c>
      <c r="I143" s="44">
        <v>330.56</v>
      </c>
      <c r="J143" s="44">
        <v>13.2</v>
      </c>
      <c r="K143" s="45">
        <v>1.68</v>
      </c>
      <c r="L143" s="42" t="s">
        <v>103</v>
      </c>
      <c r="M143" s="42">
        <v>0</v>
      </c>
      <c r="N143" s="46">
        <f t="shared" si="4"/>
        <v>0</v>
      </c>
    </row>
    <row r="144" spans="1:14" x14ac:dyDescent="0.2">
      <c r="A144" s="36" t="s">
        <v>1552</v>
      </c>
      <c r="B144" s="36" t="s">
        <v>97</v>
      </c>
      <c r="C144" s="36" t="s">
        <v>98</v>
      </c>
      <c r="D144" s="40">
        <v>45719</v>
      </c>
      <c r="E144" s="36" t="s">
        <v>1404</v>
      </c>
      <c r="F144" s="36" t="s">
        <v>23</v>
      </c>
      <c r="G144" s="36" t="s">
        <v>102</v>
      </c>
      <c r="H144" s="37">
        <v>130.83000000000001</v>
      </c>
      <c r="I144" s="37">
        <v>190.53</v>
      </c>
      <c r="J144" s="37">
        <v>50.7</v>
      </c>
      <c r="K144" s="41">
        <v>1.46</v>
      </c>
      <c r="L144" s="36" t="s">
        <v>103</v>
      </c>
      <c r="M144" s="36">
        <v>1</v>
      </c>
      <c r="N144" s="38">
        <f t="shared" si="4"/>
        <v>0</v>
      </c>
    </row>
    <row r="145" spans="1:14" x14ac:dyDescent="0.2">
      <c r="A145" s="42" t="s">
        <v>1553</v>
      </c>
      <c r="B145" s="42" t="s">
        <v>555</v>
      </c>
      <c r="C145" s="42" t="s">
        <v>556</v>
      </c>
      <c r="D145" s="43">
        <v>45901</v>
      </c>
      <c r="E145" s="42" t="s">
        <v>1407</v>
      </c>
      <c r="F145" s="42" t="s">
        <v>34</v>
      </c>
      <c r="G145" s="42" t="s">
        <v>102</v>
      </c>
      <c r="H145" s="44">
        <v>212.75</v>
      </c>
      <c r="I145" s="44">
        <v>259.23</v>
      </c>
      <c r="J145" s="44">
        <v>65.59</v>
      </c>
      <c r="K145" s="45">
        <v>1.22</v>
      </c>
      <c r="L145" s="42" t="s">
        <v>103</v>
      </c>
      <c r="M145" s="42">
        <v>1</v>
      </c>
      <c r="N145" s="46">
        <f t="shared" si="4"/>
        <v>0</v>
      </c>
    </row>
    <row r="146" spans="1:14" x14ac:dyDescent="0.2">
      <c r="A146" s="36" t="s">
        <v>1554</v>
      </c>
      <c r="B146" s="36" t="s">
        <v>517</v>
      </c>
      <c r="C146" s="36" t="s">
        <v>518</v>
      </c>
      <c r="D146" s="40">
        <v>45913</v>
      </c>
      <c r="E146" s="36" t="s">
        <v>1396</v>
      </c>
      <c r="F146" s="36" t="s">
        <v>34</v>
      </c>
      <c r="G146" s="36" t="s">
        <v>102</v>
      </c>
      <c r="H146" s="37">
        <v>45.59</v>
      </c>
      <c r="I146" s="37">
        <v>112.62</v>
      </c>
      <c r="J146" s="37">
        <v>16.97</v>
      </c>
      <c r="K146" s="41">
        <v>2.4700000000000002</v>
      </c>
      <c r="L146" s="36" t="s">
        <v>103</v>
      </c>
      <c r="M146" s="36">
        <v>0</v>
      </c>
      <c r="N146" s="38">
        <f t="shared" si="4"/>
        <v>0</v>
      </c>
    </row>
    <row r="147" spans="1:14" x14ac:dyDescent="0.2">
      <c r="A147" s="42" t="s">
        <v>1555</v>
      </c>
      <c r="B147" s="42" t="s">
        <v>1556</v>
      </c>
      <c r="C147" s="42" t="s">
        <v>1557</v>
      </c>
      <c r="D147" s="43">
        <v>45688</v>
      </c>
      <c r="E147" s="42" t="s">
        <v>1396</v>
      </c>
      <c r="F147" s="42" t="s">
        <v>23</v>
      </c>
      <c r="G147" s="42" t="s">
        <v>102</v>
      </c>
      <c r="H147" s="44">
        <v>36.74</v>
      </c>
      <c r="I147" s="44">
        <v>93.33</v>
      </c>
      <c r="J147" s="44">
        <v>10.31</v>
      </c>
      <c r="K147" s="45">
        <v>2.54</v>
      </c>
      <c r="L147" s="42" t="s">
        <v>103</v>
      </c>
      <c r="M147" s="42">
        <v>0</v>
      </c>
      <c r="N147" s="46">
        <f t="shared" si="4"/>
        <v>0</v>
      </c>
    </row>
    <row r="148" spans="1:14" x14ac:dyDescent="0.2">
      <c r="A148" s="36" t="s">
        <v>1558</v>
      </c>
      <c r="B148" s="36" t="s">
        <v>1060</v>
      </c>
      <c r="C148" s="36" t="s">
        <v>1061</v>
      </c>
      <c r="D148" s="40">
        <v>45722</v>
      </c>
      <c r="E148" s="36" t="s">
        <v>1394</v>
      </c>
      <c r="F148" s="36" t="s">
        <v>34</v>
      </c>
      <c r="G148" s="36" t="s">
        <v>103</v>
      </c>
      <c r="H148" s="37">
        <v>156.6</v>
      </c>
      <c r="I148" s="37">
        <v>259.2</v>
      </c>
      <c r="J148" s="37">
        <v>34.979999999999997</v>
      </c>
      <c r="K148" s="41">
        <v>1.66</v>
      </c>
      <c r="L148" s="36" t="s">
        <v>103</v>
      </c>
      <c r="M148" s="36">
        <v>0</v>
      </c>
      <c r="N148" s="38">
        <f t="shared" si="4"/>
        <v>20</v>
      </c>
    </row>
    <row r="149" spans="1:14" x14ac:dyDescent="0.2">
      <c r="A149" s="42" t="s">
        <v>1559</v>
      </c>
      <c r="B149" s="42" t="s">
        <v>457</v>
      </c>
      <c r="C149" s="42" t="s">
        <v>458</v>
      </c>
      <c r="D149" s="43">
        <v>45835</v>
      </c>
      <c r="E149" s="42" t="s">
        <v>1394</v>
      </c>
      <c r="F149" s="42" t="s">
        <v>34</v>
      </c>
      <c r="G149" s="42" t="s">
        <v>103</v>
      </c>
      <c r="H149" s="44">
        <v>245.55</v>
      </c>
      <c r="I149" s="44">
        <v>487.3</v>
      </c>
      <c r="J149" s="44">
        <v>18.95</v>
      </c>
      <c r="K149" s="45">
        <v>1.98</v>
      </c>
      <c r="L149" s="42" t="s">
        <v>103</v>
      </c>
      <c r="M149" s="42">
        <v>0</v>
      </c>
      <c r="N149" s="46">
        <f t="shared" si="4"/>
        <v>20</v>
      </c>
    </row>
    <row r="150" spans="1:14" x14ac:dyDescent="0.2">
      <c r="A150" s="36" t="s">
        <v>1560</v>
      </c>
      <c r="B150" s="36" t="s">
        <v>1047</v>
      </c>
      <c r="C150" s="36" t="s">
        <v>1048</v>
      </c>
      <c r="D150" s="40">
        <v>45841</v>
      </c>
      <c r="E150" s="36" t="s">
        <v>1394</v>
      </c>
      <c r="F150" s="36" t="s">
        <v>34</v>
      </c>
      <c r="G150" s="36" t="s">
        <v>102</v>
      </c>
      <c r="H150" s="37">
        <v>222.83</v>
      </c>
      <c r="I150" s="37">
        <v>329.09</v>
      </c>
      <c r="J150" s="37">
        <v>3.52</v>
      </c>
      <c r="K150" s="41">
        <v>1.48</v>
      </c>
      <c r="L150" s="36" t="s">
        <v>103</v>
      </c>
      <c r="M150" s="36">
        <v>0</v>
      </c>
      <c r="N150" s="38">
        <f t="shared" si="4"/>
        <v>0</v>
      </c>
    </row>
    <row r="151" spans="1:14" x14ac:dyDescent="0.2">
      <c r="A151" s="42" t="s">
        <v>1561</v>
      </c>
      <c r="B151" s="42" t="s">
        <v>62</v>
      </c>
      <c r="C151" s="42" t="s">
        <v>63</v>
      </c>
      <c r="D151" s="43">
        <v>45944</v>
      </c>
      <c r="E151" s="42" t="s">
        <v>1398</v>
      </c>
      <c r="F151" s="42" t="s">
        <v>34</v>
      </c>
      <c r="G151" s="42" t="s">
        <v>102</v>
      </c>
      <c r="H151" s="44">
        <v>730.49</v>
      </c>
      <c r="I151" s="44">
        <v>276.72000000000003</v>
      </c>
      <c r="J151" s="44">
        <v>479.88</v>
      </c>
      <c r="K151" s="45">
        <v>0.38</v>
      </c>
      <c r="L151" s="42" t="s">
        <v>318</v>
      </c>
      <c r="M151" s="42">
        <v>0</v>
      </c>
      <c r="N151" s="46">
        <f t="shared" si="4"/>
        <v>80</v>
      </c>
    </row>
    <row r="152" spans="1:14" x14ac:dyDescent="0.2">
      <c r="A152" s="36" t="s">
        <v>1562</v>
      </c>
      <c r="B152" s="36" t="s">
        <v>481</v>
      </c>
      <c r="C152" s="36" t="s">
        <v>482</v>
      </c>
      <c r="D152" s="40">
        <v>46032</v>
      </c>
      <c r="E152" s="36" t="s">
        <v>1396</v>
      </c>
      <c r="F152" s="36" t="s">
        <v>34</v>
      </c>
      <c r="G152" s="36" t="s">
        <v>102</v>
      </c>
      <c r="H152" s="37">
        <v>151.15</v>
      </c>
      <c r="I152" s="37">
        <v>475.02</v>
      </c>
      <c r="J152" s="37">
        <v>36.200000000000003</v>
      </c>
      <c r="K152" s="41">
        <v>3.14</v>
      </c>
      <c r="L152" s="36" t="s">
        <v>103</v>
      </c>
      <c r="M152" s="36">
        <v>1</v>
      </c>
      <c r="N152" s="38">
        <f t="shared" si="4"/>
        <v>0</v>
      </c>
    </row>
    <row r="153" spans="1:14" x14ac:dyDescent="0.2">
      <c r="A153" s="42" t="s">
        <v>1563</v>
      </c>
      <c r="B153" s="42" t="s">
        <v>525</v>
      </c>
      <c r="C153" s="42" t="s">
        <v>526</v>
      </c>
      <c r="D153" s="43">
        <v>45740</v>
      </c>
      <c r="E153" s="42" t="s">
        <v>1398</v>
      </c>
      <c r="F153" s="42" t="s">
        <v>34</v>
      </c>
      <c r="G153" s="42" t="s">
        <v>102</v>
      </c>
      <c r="H153" s="44">
        <v>39.29</v>
      </c>
      <c r="I153" s="44">
        <v>47.88</v>
      </c>
      <c r="J153" s="44">
        <v>4.6500000000000004</v>
      </c>
      <c r="K153" s="45">
        <v>1.22</v>
      </c>
      <c r="L153" s="42" t="s">
        <v>103</v>
      </c>
      <c r="M153" s="42">
        <v>0</v>
      </c>
      <c r="N153" s="46">
        <f t="shared" si="4"/>
        <v>0</v>
      </c>
    </row>
    <row r="154" spans="1:14" x14ac:dyDescent="0.2">
      <c r="A154" s="36" t="s">
        <v>1564</v>
      </c>
      <c r="B154" s="36" t="s">
        <v>924</v>
      </c>
      <c r="C154" s="36" t="s">
        <v>925</v>
      </c>
      <c r="D154" s="40">
        <v>45845</v>
      </c>
      <c r="E154" s="36" t="s">
        <v>1394</v>
      </c>
      <c r="F154" s="36" t="s">
        <v>23</v>
      </c>
      <c r="G154" s="36" t="s">
        <v>102</v>
      </c>
      <c r="H154" s="37">
        <v>147.13999999999999</v>
      </c>
      <c r="I154" s="37">
        <v>425.97</v>
      </c>
      <c r="J154" s="37">
        <v>29.78</v>
      </c>
      <c r="K154" s="41">
        <v>2.89</v>
      </c>
      <c r="L154" s="36" t="s">
        <v>103</v>
      </c>
      <c r="M154" s="36">
        <v>1</v>
      </c>
      <c r="N154" s="38">
        <f t="shared" si="4"/>
        <v>0</v>
      </c>
    </row>
    <row r="155" spans="1:14" x14ac:dyDescent="0.2">
      <c r="A155" s="42" t="s">
        <v>1565</v>
      </c>
      <c r="B155" s="42" t="s">
        <v>669</v>
      </c>
      <c r="C155" s="42" t="s">
        <v>670</v>
      </c>
      <c r="D155" s="43">
        <v>45667</v>
      </c>
      <c r="E155" s="42" t="s">
        <v>1398</v>
      </c>
      <c r="F155" s="42" t="s">
        <v>30</v>
      </c>
      <c r="G155" s="42" t="s">
        <v>102</v>
      </c>
      <c r="H155" s="44">
        <v>193.53</v>
      </c>
      <c r="I155" s="44">
        <v>345.06</v>
      </c>
      <c r="J155" s="44">
        <v>48.01</v>
      </c>
      <c r="K155" s="45">
        <v>1.78</v>
      </c>
      <c r="L155" s="42" t="s">
        <v>103</v>
      </c>
      <c r="M155" s="42">
        <v>3</v>
      </c>
      <c r="N155" s="46">
        <f t="shared" si="4"/>
        <v>0</v>
      </c>
    </row>
    <row r="156" spans="1:14" x14ac:dyDescent="0.2">
      <c r="A156" s="36" t="s">
        <v>1566</v>
      </c>
      <c r="B156" s="36" t="s">
        <v>244</v>
      </c>
      <c r="C156" s="36" t="s">
        <v>245</v>
      </c>
      <c r="D156" s="40">
        <v>45690</v>
      </c>
      <c r="E156" s="36" t="s">
        <v>1404</v>
      </c>
      <c r="F156" s="36" t="s">
        <v>34</v>
      </c>
      <c r="G156" s="36" t="s">
        <v>103</v>
      </c>
      <c r="H156" s="37">
        <v>204.32</v>
      </c>
      <c r="I156" s="37">
        <v>460.78</v>
      </c>
      <c r="J156" s="37">
        <v>31.67</v>
      </c>
      <c r="K156" s="41">
        <v>2.2599999999999998</v>
      </c>
      <c r="L156" s="36" t="s">
        <v>103</v>
      </c>
      <c r="M156" s="36">
        <v>0</v>
      </c>
      <c r="N156" s="38">
        <f t="shared" si="4"/>
        <v>20</v>
      </c>
    </row>
    <row r="157" spans="1:14" x14ac:dyDescent="0.2">
      <c r="A157" s="42" t="s">
        <v>1567</v>
      </c>
      <c r="B157" s="42" t="s">
        <v>336</v>
      </c>
      <c r="C157" s="42" t="s">
        <v>337</v>
      </c>
      <c r="D157" s="43">
        <v>45912</v>
      </c>
      <c r="E157" s="42" t="s">
        <v>1401</v>
      </c>
      <c r="F157" s="42" t="s">
        <v>34</v>
      </c>
      <c r="G157" s="42" t="s">
        <v>103</v>
      </c>
      <c r="H157" s="44">
        <v>234.41</v>
      </c>
      <c r="I157" s="44">
        <v>285.08</v>
      </c>
      <c r="J157" s="44">
        <v>26.55</v>
      </c>
      <c r="K157" s="45">
        <v>1.22</v>
      </c>
      <c r="L157" s="42" t="s">
        <v>103</v>
      </c>
      <c r="M157" s="42">
        <v>0</v>
      </c>
      <c r="N157" s="46">
        <f t="shared" si="4"/>
        <v>20</v>
      </c>
    </row>
    <row r="158" spans="1:14" x14ac:dyDescent="0.2">
      <c r="A158" s="36" t="s">
        <v>1568</v>
      </c>
      <c r="B158" s="36" t="s">
        <v>380</v>
      </c>
      <c r="C158" s="36" t="s">
        <v>381</v>
      </c>
      <c r="D158" s="40">
        <v>45822</v>
      </c>
      <c r="E158" s="36" t="s">
        <v>1396</v>
      </c>
      <c r="F158" s="36" t="s">
        <v>34</v>
      </c>
      <c r="G158" s="36" t="s">
        <v>103</v>
      </c>
      <c r="H158" s="37">
        <v>50.93</v>
      </c>
      <c r="I158" s="37">
        <v>112.69</v>
      </c>
      <c r="J158" s="37">
        <v>1.36</v>
      </c>
      <c r="K158" s="41">
        <v>2.21</v>
      </c>
      <c r="L158" s="36" t="s">
        <v>103</v>
      </c>
      <c r="M158" s="36">
        <v>1</v>
      </c>
      <c r="N158" s="38">
        <f t="shared" si="4"/>
        <v>20</v>
      </c>
    </row>
    <row r="159" spans="1:14" x14ac:dyDescent="0.2">
      <c r="A159" s="42" t="s">
        <v>1569</v>
      </c>
      <c r="B159" s="42" t="s">
        <v>212</v>
      </c>
      <c r="C159" s="42" t="s">
        <v>213</v>
      </c>
      <c r="D159" s="43">
        <v>45749</v>
      </c>
      <c r="E159" s="42" t="s">
        <v>1410</v>
      </c>
      <c r="F159" s="42" t="s">
        <v>34</v>
      </c>
      <c r="G159" s="42" t="s">
        <v>102</v>
      </c>
      <c r="H159" s="44">
        <v>264.58</v>
      </c>
      <c r="I159" s="44">
        <v>356.02</v>
      </c>
      <c r="J159" s="44">
        <v>51.37</v>
      </c>
      <c r="K159" s="45">
        <v>1.35</v>
      </c>
      <c r="L159" s="42" t="s">
        <v>103</v>
      </c>
      <c r="M159" s="42">
        <v>0</v>
      </c>
      <c r="N159" s="46">
        <f t="shared" si="4"/>
        <v>0</v>
      </c>
    </row>
    <row r="160" spans="1:14" x14ac:dyDescent="0.2">
      <c r="A160" s="36" t="s">
        <v>1570</v>
      </c>
      <c r="B160" s="36" t="s">
        <v>707</v>
      </c>
      <c r="C160" s="36" t="s">
        <v>708</v>
      </c>
      <c r="D160" s="40">
        <v>45950</v>
      </c>
      <c r="E160" s="36" t="s">
        <v>1404</v>
      </c>
      <c r="F160" s="36" t="s">
        <v>34</v>
      </c>
      <c r="G160" s="36" t="s">
        <v>102</v>
      </c>
      <c r="H160" s="37">
        <v>199.69</v>
      </c>
      <c r="I160" s="37">
        <v>369.27</v>
      </c>
      <c r="J160" s="37">
        <v>39.130000000000003</v>
      </c>
      <c r="K160" s="41">
        <v>1.85</v>
      </c>
      <c r="L160" s="36" t="s">
        <v>103</v>
      </c>
      <c r="M160" s="36">
        <v>0</v>
      </c>
      <c r="N160" s="38">
        <f t="shared" si="4"/>
        <v>0</v>
      </c>
    </row>
    <row r="161" spans="1:14" x14ac:dyDescent="0.2">
      <c r="A161" s="42" t="s">
        <v>1571</v>
      </c>
      <c r="B161" s="42" t="s">
        <v>950</v>
      </c>
      <c r="C161" s="42" t="s">
        <v>951</v>
      </c>
      <c r="D161" s="43">
        <v>45960</v>
      </c>
      <c r="E161" s="42" t="s">
        <v>1410</v>
      </c>
      <c r="F161" s="42" t="s">
        <v>23</v>
      </c>
      <c r="G161" s="42" t="s">
        <v>102</v>
      </c>
      <c r="H161" s="44">
        <v>91.66</v>
      </c>
      <c r="I161" s="44">
        <v>163.99</v>
      </c>
      <c r="J161" s="44">
        <v>22.22</v>
      </c>
      <c r="K161" s="45">
        <v>1.79</v>
      </c>
      <c r="L161" s="42" t="s">
        <v>103</v>
      </c>
      <c r="M161" s="42">
        <v>0</v>
      </c>
      <c r="N161" s="46">
        <f t="shared" si="4"/>
        <v>0</v>
      </c>
    </row>
    <row r="162" spans="1:14" x14ac:dyDescent="0.2">
      <c r="A162" s="36" t="s">
        <v>1572</v>
      </c>
      <c r="B162" s="36" t="s">
        <v>162</v>
      </c>
      <c r="C162" s="36" t="s">
        <v>163</v>
      </c>
      <c r="D162" s="40">
        <v>45764</v>
      </c>
      <c r="E162" s="36" t="s">
        <v>1401</v>
      </c>
      <c r="F162" s="36" t="s">
        <v>34</v>
      </c>
      <c r="G162" s="36" t="s">
        <v>102</v>
      </c>
      <c r="H162" s="37">
        <v>203.61</v>
      </c>
      <c r="I162" s="37">
        <v>673.28</v>
      </c>
      <c r="J162" s="37">
        <v>67.77</v>
      </c>
      <c r="K162" s="41">
        <v>3.31</v>
      </c>
      <c r="L162" s="36" t="s">
        <v>103</v>
      </c>
      <c r="M162" s="36">
        <v>0</v>
      </c>
      <c r="N162" s="38">
        <f t="shared" ref="N162:N193" si="5">IF(L162="YES",35,0)+IF(K162&lt;0.5,30,IF(K162&lt;1,15,0))+IF(G162="No",20,0)+IF(J162/H162&gt;0.6,15,0)</f>
        <v>0</v>
      </c>
    </row>
    <row r="163" spans="1:14" x14ac:dyDescent="0.2">
      <c r="A163" s="42" t="s">
        <v>1573</v>
      </c>
      <c r="B163" s="42" t="s">
        <v>491</v>
      </c>
      <c r="C163" s="42" t="s">
        <v>492</v>
      </c>
      <c r="D163" s="43">
        <v>45689</v>
      </c>
      <c r="E163" s="42" t="s">
        <v>1396</v>
      </c>
      <c r="F163" s="42" t="s">
        <v>34</v>
      </c>
      <c r="G163" s="42" t="s">
        <v>102</v>
      </c>
      <c r="H163" s="44">
        <v>121.06</v>
      </c>
      <c r="I163" s="44">
        <v>339.86</v>
      </c>
      <c r="J163" s="44">
        <v>43.12</v>
      </c>
      <c r="K163" s="45">
        <v>2.81</v>
      </c>
      <c r="L163" s="42" t="s">
        <v>103</v>
      </c>
      <c r="M163" s="42">
        <v>1</v>
      </c>
      <c r="N163" s="46">
        <f t="shared" si="5"/>
        <v>0</v>
      </c>
    </row>
    <row r="164" spans="1:14" x14ac:dyDescent="0.2">
      <c r="A164" s="36" t="s">
        <v>1574</v>
      </c>
      <c r="B164" s="36" t="s">
        <v>284</v>
      </c>
      <c r="C164" s="36" t="s">
        <v>285</v>
      </c>
      <c r="D164" s="40">
        <v>46064</v>
      </c>
      <c r="E164" s="36" t="s">
        <v>1410</v>
      </c>
      <c r="F164" s="36" t="s">
        <v>34</v>
      </c>
      <c r="G164" s="36" t="s">
        <v>103</v>
      </c>
      <c r="H164" s="37">
        <v>218.36</v>
      </c>
      <c r="I164" s="37">
        <v>660.28</v>
      </c>
      <c r="J164" s="37">
        <v>23.22</v>
      </c>
      <c r="K164" s="41">
        <v>3.02</v>
      </c>
      <c r="L164" s="36" t="s">
        <v>103</v>
      </c>
      <c r="M164" s="36">
        <v>0</v>
      </c>
      <c r="N164" s="38">
        <f t="shared" si="5"/>
        <v>20</v>
      </c>
    </row>
    <row r="165" spans="1:14" x14ac:dyDescent="0.2">
      <c r="A165" s="42" t="s">
        <v>1575</v>
      </c>
      <c r="B165" s="42" t="s">
        <v>1042</v>
      </c>
      <c r="C165" s="42" t="s">
        <v>1043</v>
      </c>
      <c r="D165" s="43">
        <v>45694</v>
      </c>
      <c r="E165" s="42" t="s">
        <v>1404</v>
      </c>
      <c r="F165" s="42" t="s">
        <v>23</v>
      </c>
      <c r="G165" s="42" t="s">
        <v>103</v>
      </c>
      <c r="H165" s="44">
        <v>253.65</v>
      </c>
      <c r="I165" s="44">
        <v>256.29000000000002</v>
      </c>
      <c r="J165" s="44">
        <v>21.91</v>
      </c>
      <c r="K165" s="45">
        <v>1.01</v>
      </c>
      <c r="L165" s="42" t="s">
        <v>103</v>
      </c>
      <c r="M165" s="42">
        <v>1</v>
      </c>
      <c r="N165" s="46">
        <f t="shared" si="5"/>
        <v>20</v>
      </c>
    </row>
    <row r="166" spans="1:14" x14ac:dyDescent="0.2">
      <c r="A166" s="36" t="s">
        <v>1576</v>
      </c>
      <c r="B166" s="36" t="s">
        <v>882</v>
      </c>
      <c r="C166" s="36" t="s">
        <v>883</v>
      </c>
      <c r="D166" s="40">
        <v>45709</v>
      </c>
      <c r="E166" s="36" t="s">
        <v>1404</v>
      </c>
      <c r="F166" s="36" t="s">
        <v>34</v>
      </c>
      <c r="G166" s="36" t="s">
        <v>102</v>
      </c>
      <c r="H166" s="37">
        <v>223.05</v>
      </c>
      <c r="I166" s="37">
        <v>498.62</v>
      </c>
      <c r="J166" s="37">
        <v>16.899999999999999</v>
      </c>
      <c r="K166" s="41">
        <v>2.2400000000000002</v>
      </c>
      <c r="L166" s="36" t="s">
        <v>103</v>
      </c>
      <c r="M166" s="36">
        <v>0</v>
      </c>
      <c r="N166" s="38">
        <f t="shared" si="5"/>
        <v>0</v>
      </c>
    </row>
    <row r="167" spans="1:14" x14ac:dyDescent="0.2">
      <c r="A167" s="42" t="s">
        <v>1577</v>
      </c>
      <c r="B167" s="42" t="s">
        <v>1011</v>
      </c>
      <c r="C167" s="42" t="s">
        <v>1012</v>
      </c>
      <c r="D167" s="43">
        <v>45785</v>
      </c>
      <c r="E167" s="42" t="s">
        <v>1404</v>
      </c>
      <c r="F167" s="42" t="s">
        <v>34</v>
      </c>
      <c r="G167" s="42" t="s">
        <v>102</v>
      </c>
      <c r="H167" s="44">
        <v>179.61</v>
      </c>
      <c r="I167" s="44">
        <v>603.17999999999995</v>
      </c>
      <c r="J167" s="44">
        <v>40.119999999999997</v>
      </c>
      <c r="K167" s="45">
        <v>3.36</v>
      </c>
      <c r="L167" s="42" t="s">
        <v>103</v>
      </c>
      <c r="M167" s="42">
        <v>1</v>
      </c>
      <c r="N167" s="46">
        <f t="shared" si="5"/>
        <v>0</v>
      </c>
    </row>
    <row r="168" spans="1:14" x14ac:dyDescent="0.2">
      <c r="A168" s="36" t="s">
        <v>1578</v>
      </c>
      <c r="B168" s="36" t="s">
        <v>549</v>
      </c>
      <c r="C168" s="36" t="s">
        <v>550</v>
      </c>
      <c r="D168" s="40">
        <v>46040</v>
      </c>
      <c r="E168" s="36" t="s">
        <v>1401</v>
      </c>
      <c r="F168" s="36" t="s">
        <v>34</v>
      </c>
      <c r="G168" s="36" t="s">
        <v>102</v>
      </c>
      <c r="H168" s="37">
        <v>49.54</v>
      </c>
      <c r="I168" s="37">
        <v>125.05</v>
      </c>
      <c r="J168" s="37">
        <v>7.09</v>
      </c>
      <c r="K168" s="41">
        <v>2.52</v>
      </c>
      <c r="L168" s="36" t="s">
        <v>103</v>
      </c>
      <c r="M168" s="36">
        <v>0</v>
      </c>
      <c r="N168" s="38">
        <f t="shared" si="5"/>
        <v>0</v>
      </c>
    </row>
    <row r="169" spans="1:14" x14ac:dyDescent="0.2">
      <c r="A169" s="42" t="s">
        <v>1579</v>
      </c>
      <c r="B169" s="42" t="s">
        <v>950</v>
      </c>
      <c r="C169" s="42" t="s">
        <v>951</v>
      </c>
      <c r="D169" s="43">
        <v>45998</v>
      </c>
      <c r="E169" s="42" t="s">
        <v>1404</v>
      </c>
      <c r="F169" s="42" t="s">
        <v>23</v>
      </c>
      <c r="G169" s="42" t="s">
        <v>102</v>
      </c>
      <c r="H169" s="44">
        <v>139.58000000000001</v>
      </c>
      <c r="I169" s="44">
        <v>150.9</v>
      </c>
      <c r="J169" s="44">
        <v>44.24</v>
      </c>
      <c r="K169" s="45">
        <v>1.08</v>
      </c>
      <c r="L169" s="42" t="s">
        <v>103</v>
      </c>
      <c r="M169" s="42">
        <v>0</v>
      </c>
      <c r="N169" s="46">
        <f t="shared" si="5"/>
        <v>0</v>
      </c>
    </row>
    <row r="170" spans="1:14" x14ac:dyDescent="0.2">
      <c r="A170" s="36" t="s">
        <v>1580</v>
      </c>
      <c r="B170" s="36" t="s">
        <v>248</v>
      </c>
      <c r="C170" s="36" t="s">
        <v>249</v>
      </c>
      <c r="D170" s="40">
        <v>45916</v>
      </c>
      <c r="E170" s="36" t="s">
        <v>1401</v>
      </c>
      <c r="F170" s="36" t="s">
        <v>34</v>
      </c>
      <c r="G170" s="36" t="s">
        <v>102</v>
      </c>
      <c r="H170" s="37">
        <v>114.5</v>
      </c>
      <c r="I170" s="37">
        <v>140.5</v>
      </c>
      <c r="J170" s="37">
        <v>45.73</v>
      </c>
      <c r="K170" s="41">
        <v>1.23</v>
      </c>
      <c r="L170" s="36" t="s">
        <v>103</v>
      </c>
      <c r="M170" s="36">
        <v>1</v>
      </c>
      <c r="N170" s="38">
        <f t="shared" si="5"/>
        <v>0</v>
      </c>
    </row>
    <row r="171" spans="1:14" x14ac:dyDescent="0.2">
      <c r="A171" s="42" t="s">
        <v>1581</v>
      </c>
      <c r="B171" s="42" t="s">
        <v>443</v>
      </c>
      <c r="C171" s="42" t="s">
        <v>444</v>
      </c>
      <c r="D171" s="43">
        <v>45819</v>
      </c>
      <c r="E171" s="42" t="s">
        <v>1401</v>
      </c>
      <c r="F171" s="42" t="s">
        <v>34</v>
      </c>
      <c r="G171" s="42" t="s">
        <v>102</v>
      </c>
      <c r="H171" s="44">
        <v>174.02</v>
      </c>
      <c r="I171" s="44">
        <v>607.59</v>
      </c>
      <c r="J171" s="44">
        <v>58.81</v>
      </c>
      <c r="K171" s="45">
        <v>3.49</v>
      </c>
      <c r="L171" s="42" t="s">
        <v>103</v>
      </c>
      <c r="M171" s="42">
        <v>0</v>
      </c>
      <c r="N171" s="46">
        <f t="shared" si="5"/>
        <v>0</v>
      </c>
    </row>
    <row r="172" spans="1:14" x14ac:dyDescent="0.2">
      <c r="A172" s="36" t="s">
        <v>1582</v>
      </c>
      <c r="B172" s="36" t="s">
        <v>300</v>
      </c>
      <c r="C172" s="36" t="s">
        <v>301</v>
      </c>
      <c r="D172" s="40">
        <v>45982</v>
      </c>
      <c r="E172" s="36" t="s">
        <v>1404</v>
      </c>
      <c r="F172" s="36" t="s">
        <v>26</v>
      </c>
      <c r="G172" s="36" t="s">
        <v>103</v>
      </c>
      <c r="H172" s="37">
        <v>140.56</v>
      </c>
      <c r="I172" s="37">
        <v>387.92</v>
      </c>
      <c r="J172" s="37">
        <v>34.21</v>
      </c>
      <c r="K172" s="41">
        <v>2.76</v>
      </c>
      <c r="L172" s="36" t="s">
        <v>103</v>
      </c>
      <c r="M172" s="36">
        <v>1</v>
      </c>
      <c r="N172" s="38">
        <f t="shared" si="5"/>
        <v>20</v>
      </c>
    </row>
    <row r="173" spans="1:14" x14ac:dyDescent="0.2">
      <c r="A173" s="42" t="s">
        <v>1583</v>
      </c>
      <c r="B173" s="42" t="s">
        <v>194</v>
      </c>
      <c r="C173" s="42" t="s">
        <v>195</v>
      </c>
      <c r="D173" s="43">
        <v>45767</v>
      </c>
      <c r="E173" s="42" t="s">
        <v>1398</v>
      </c>
      <c r="F173" s="42" t="s">
        <v>34</v>
      </c>
      <c r="G173" s="42" t="s">
        <v>102</v>
      </c>
      <c r="H173" s="44">
        <v>125.02</v>
      </c>
      <c r="I173" s="44">
        <v>285.75</v>
      </c>
      <c r="J173" s="44">
        <v>37.229999999999997</v>
      </c>
      <c r="K173" s="45">
        <v>2.29</v>
      </c>
      <c r="L173" s="42" t="s">
        <v>103</v>
      </c>
      <c r="M173" s="42">
        <v>0</v>
      </c>
      <c r="N173" s="46">
        <f t="shared" si="5"/>
        <v>0</v>
      </c>
    </row>
    <row r="174" spans="1:14" x14ac:dyDescent="0.2">
      <c r="A174" s="36" t="s">
        <v>1584</v>
      </c>
      <c r="B174" s="36" t="s">
        <v>567</v>
      </c>
      <c r="C174" s="36" t="s">
        <v>568</v>
      </c>
      <c r="D174" s="40">
        <v>45887</v>
      </c>
      <c r="E174" s="36" t="s">
        <v>1398</v>
      </c>
      <c r="F174" s="36" t="s">
        <v>34</v>
      </c>
      <c r="G174" s="36" t="s">
        <v>102</v>
      </c>
      <c r="H174" s="37">
        <v>288.75</v>
      </c>
      <c r="I174" s="37">
        <v>231.15</v>
      </c>
      <c r="J174" s="37">
        <v>4</v>
      </c>
      <c r="K174" s="41">
        <v>0.8</v>
      </c>
      <c r="L174" s="36" t="s">
        <v>103</v>
      </c>
      <c r="M174" s="36">
        <v>0</v>
      </c>
      <c r="N174" s="38">
        <f t="shared" si="5"/>
        <v>15</v>
      </c>
    </row>
    <row r="175" spans="1:14" x14ac:dyDescent="0.2">
      <c r="A175" s="42" t="s">
        <v>1585</v>
      </c>
      <c r="B175" s="42" t="s">
        <v>838</v>
      </c>
      <c r="C175" s="42" t="s">
        <v>839</v>
      </c>
      <c r="D175" s="43">
        <v>45666</v>
      </c>
      <c r="E175" s="42" t="s">
        <v>1398</v>
      </c>
      <c r="F175" s="42" t="s">
        <v>34</v>
      </c>
      <c r="G175" s="42" t="s">
        <v>102</v>
      </c>
      <c r="H175" s="44">
        <v>164.93</v>
      </c>
      <c r="I175" s="44">
        <v>574.32000000000005</v>
      </c>
      <c r="J175" s="44">
        <v>19.91</v>
      </c>
      <c r="K175" s="45">
        <v>3.48</v>
      </c>
      <c r="L175" s="42" t="s">
        <v>103</v>
      </c>
      <c r="M175" s="42">
        <v>0</v>
      </c>
      <c r="N175" s="46">
        <f t="shared" si="5"/>
        <v>0</v>
      </c>
    </row>
    <row r="176" spans="1:14" x14ac:dyDescent="0.2">
      <c r="A176" s="36" t="s">
        <v>1586</v>
      </c>
      <c r="B176" s="36" t="s">
        <v>1208</v>
      </c>
      <c r="C176" s="36" t="s">
        <v>1209</v>
      </c>
      <c r="D176" s="40">
        <v>45767</v>
      </c>
      <c r="E176" s="36" t="s">
        <v>1394</v>
      </c>
      <c r="F176" s="36" t="s">
        <v>32</v>
      </c>
      <c r="G176" s="36" t="s">
        <v>102</v>
      </c>
      <c r="H176" s="37">
        <v>259.60000000000002</v>
      </c>
      <c r="I176" s="37">
        <v>222.89</v>
      </c>
      <c r="J176" s="37">
        <v>85.35</v>
      </c>
      <c r="K176" s="41">
        <v>0.86</v>
      </c>
      <c r="L176" s="36" t="s">
        <v>103</v>
      </c>
      <c r="M176" s="36">
        <v>0</v>
      </c>
      <c r="N176" s="38">
        <f t="shared" si="5"/>
        <v>15</v>
      </c>
    </row>
    <row r="177" spans="1:14" x14ac:dyDescent="0.2">
      <c r="A177" s="42" t="s">
        <v>1587</v>
      </c>
      <c r="B177" s="42" t="s">
        <v>208</v>
      </c>
      <c r="C177" s="42" t="s">
        <v>209</v>
      </c>
      <c r="D177" s="43">
        <v>45941</v>
      </c>
      <c r="E177" s="42" t="s">
        <v>1410</v>
      </c>
      <c r="F177" s="42" t="s">
        <v>30</v>
      </c>
      <c r="G177" s="42" t="s">
        <v>102</v>
      </c>
      <c r="H177" s="44">
        <v>163.16</v>
      </c>
      <c r="I177" s="44">
        <v>381.93</v>
      </c>
      <c r="J177" s="44">
        <v>37.31</v>
      </c>
      <c r="K177" s="45">
        <v>2.34</v>
      </c>
      <c r="L177" s="42" t="s">
        <v>103</v>
      </c>
      <c r="M177" s="42">
        <v>0</v>
      </c>
      <c r="N177" s="46">
        <f t="shared" si="5"/>
        <v>0</v>
      </c>
    </row>
    <row r="178" spans="1:14" x14ac:dyDescent="0.2">
      <c r="A178" s="36" t="s">
        <v>1588</v>
      </c>
      <c r="B178" s="36" t="s">
        <v>596</v>
      </c>
      <c r="C178" s="36" t="s">
        <v>597</v>
      </c>
      <c r="D178" s="40">
        <v>45893</v>
      </c>
      <c r="E178" s="36" t="s">
        <v>1404</v>
      </c>
      <c r="F178" s="36" t="s">
        <v>32</v>
      </c>
      <c r="G178" s="36" t="s">
        <v>103</v>
      </c>
      <c r="H178" s="37">
        <v>119.58</v>
      </c>
      <c r="I178" s="37">
        <v>140.35</v>
      </c>
      <c r="J178" s="37">
        <v>17.559999999999999</v>
      </c>
      <c r="K178" s="41">
        <v>1.17</v>
      </c>
      <c r="L178" s="36" t="s">
        <v>103</v>
      </c>
      <c r="M178" s="36">
        <v>2</v>
      </c>
      <c r="N178" s="38">
        <f t="shared" si="5"/>
        <v>20</v>
      </c>
    </row>
    <row r="179" spans="1:14" x14ac:dyDescent="0.2">
      <c r="A179" s="42" t="s">
        <v>1589</v>
      </c>
      <c r="B179" s="42" t="s">
        <v>720</v>
      </c>
      <c r="C179" s="42" t="s">
        <v>721</v>
      </c>
      <c r="D179" s="43">
        <v>45777</v>
      </c>
      <c r="E179" s="42" t="s">
        <v>1404</v>
      </c>
      <c r="F179" s="42" t="s">
        <v>34</v>
      </c>
      <c r="G179" s="42" t="s">
        <v>102</v>
      </c>
      <c r="H179" s="44">
        <v>91.75</v>
      </c>
      <c r="I179" s="44">
        <v>147.79</v>
      </c>
      <c r="J179" s="44">
        <v>20.94</v>
      </c>
      <c r="K179" s="45">
        <v>1.61</v>
      </c>
      <c r="L179" s="42" t="s">
        <v>103</v>
      </c>
      <c r="M179" s="42">
        <v>0</v>
      </c>
      <c r="N179" s="46">
        <f t="shared" si="5"/>
        <v>0</v>
      </c>
    </row>
    <row r="180" spans="1:14" x14ac:dyDescent="0.2">
      <c r="A180" s="36" t="s">
        <v>1590</v>
      </c>
      <c r="B180" s="36" t="s">
        <v>190</v>
      </c>
      <c r="C180" s="36" t="s">
        <v>191</v>
      </c>
      <c r="D180" s="40">
        <v>46033</v>
      </c>
      <c r="E180" s="36" t="s">
        <v>1401</v>
      </c>
      <c r="F180" s="36" t="s">
        <v>32</v>
      </c>
      <c r="G180" s="36" t="s">
        <v>102</v>
      </c>
      <c r="H180" s="37">
        <v>41.62</v>
      </c>
      <c r="I180" s="37">
        <v>69.78</v>
      </c>
      <c r="J180" s="37">
        <v>8.0299999999999994</v>
      </c>
      <c r="K180" s="41">
        <v>1.68</v>
      </c>
      <c r="L180" s="36" t="s">
        <v>103</v>
      </c>
      <c r="M180" s="36">
        <v>0</v>
      </c>
      <c r="N180" s="38">
        <f t="shared" si="5"/>
        <v>0</v>
      </c>
    </row>
    <row r="181" spans="1:14" x14ac:dyDescent="0.2">
      <c r="A181" s="42" t="s">
        <v>1591</v>
      </c>
      <c r="B181" s="42" t="s">
        <v>555</v>
      </c>
      <c r="C181" s="42" t="s">
        <v>556</v>
      </c>
      <c r="D181" s="43">
        <v>46017</v>
      </c>
      <c r="E181" s="42" t="s">
        <v>1398</v>
      </c>
      <c r="F181" s="42" t="s">
        <v>34</v>
      </c>
      <c r="G181" s="42" t="s">
        <v>102</v>
      </c>
      <c r="H181" s="44">
        <v>181.35</v>
      </c>
      <c r="I181" s="44">
        <v>589.51</v>
      </c>
      <c r="J181" s="44">
        <v>43.18</v>
      </c>
      <c r="K181" s="45">
        <v>3.25</v>
      </c>
      <c r="L181" s="42" t="s">
        <v>103</v>
      </c>
      <c r="M181" s="42">
        <v>1</v>
      </c>
      <c r="N181" s="46">
        <f t="shared" si="5"/>
        <v>0</v>
      </c>
    </row>
    <row r="182" spans="1:14" x14ac:dyDescent="0.2">
      <c r="A182" s="36" t="s">
        <v>1592</v>
      </c>
      <c r="B182" s="36" t="s">
        <v>596</v>
      </c>
      <c r="C182" s="36" t="s">
        <v>597</v>
      </c>
      <c r="D182" s="40">
        <v>46032</v>
      </c>
      <c r="E182" s="36" t="s">
        <v>1396</v>
      </c>
      <c r="F182" s="36" t="s">
        <v>32</v>
      </c>
      <c r="G182" s="36" t="s">
        <v>103</v>
      </c>
      <c r="H182" s="37">
        <v>246.34</v>
      </c>
      <c r="I182" s="37">
        <v>450.85</v>
      </c>
      <c r="J182" s="37">
        <v>76.87</v>
      </c>
      <c r="K182" s="41">
        <v>1.83</v>
      </c>
      <c r="L182" s="36" t="s">
        <v>103</v>
      </c>
      <c r="M182" s="36">
        <v>2</v>
      </c>
      <c r="N182" s="38">
        <f t="shared" si="5"/>
        <v>20</v>
      </c>
    </row>
    <row r="183" spans="1:14" x14ac:dyDescent="0.2">
      <c r="A183" s="42" t="s">
        <v>1593</v>
      </c>
      <c r="B183" s="42" t="s">
        <v>372</v>
      </c>
      <c r="C183" s="42" t="s">
        <v>373</v>
      </c>
      <c r="D183" s="43">
        <v>45836</v>
      </c>
      <c r="E183" s="42" t="s">
        <v>1410</v>
      </c>
      <c r="F183" s="42" t="s">
        <v>28</v>
      </c>
      <c r="G183" s="42" t="s">
        <v>102</v>
      </c>
      <c r="H183" s="44">
        <v>266.33999999999997</v>
      </c>
      <c r="I183" s="44">
        <v>525.39</v>
      </c>
      <c r="J183" s="44">
        <v>99.1</v>
      </c>
      <c r="K183" s="45">
        <v>1.97</v>
      </c>
      <c r="L183" s="42" t="s">
        <v>103</v>
      </c>
      <c r="M183" s="42">
        <v>2</v>
      </c>
      <c r="N183" s="46">
        <f t="shared" si="5"/>
        <v>0</v>
      </c>
    </row>
    <row r="184" spans="1:14" x14ac:dyDescent="0.2">
      <c r="A184" s="36" t="s">
        <v>1594</v>
      </c>
      <c r="B184" s="36" t="s">
        <v>395</v>
      </c>
      <c r="C184" s="36" t="s">
        <v>396</v>
      </c>
      <c r="D184" s="40">
        <v>45774</v>
      </c>
      <c r="E184" s="36" t="s">
        <v>1394</v>
      </c>
      <c r="F184" s="36" t="s">
        <v>23</v>
      </c>
      <c r="G184" s="36" t="s">
        <v>102</v>
      </c>
      <c r="H184" s="37">
        <v>229.35</v>
      </c>
      <c r="I184" s="37">
        <v>709.52</v>
      </c>
      <c r="J184" s="37">
        <v>85.19</v>
      </c>
      <c r="K184" s="41">
        <v>3.09</v>
      </c>
      <c r="L184" s="36" t="s">
        <v>103</v>
      </c>
      <c r="M184" s="36">
        <v>0</v>
      </c>
      <c r="N184" s="38">
        <f t="shared" si="5"/>
        <v>0</v>
      </c>
    </row>
    <row r="185" spans="1:14" x14ac:dyDescent="0.2">
      <c r="A185" s="42" t="s">
        <v>1595</v>
      </c>
      <c r="B185" s="42" t="s">
        <v>461</v>
      </c>
      <c r="C185" s="42" t="s">
        <v>462</v>
      </c>
      <c r="D185" s="43">
        <v>45981</v>
      </c>
      <c r="E185" s="42" t="s">
        <v>1404</v>
      </c>
      <c r="F185" s="42" t="s">
        <v>34</v>
      </c>
      <c r="G185" s="42" t="s">
        <v>102</v>
      </c>
      <c r="H185" s="44">
        <v>127.1</v>
      </c>
      <c r="I185" s="44">
        <v>206.27</v>
      </c>
      <c r="J185" s="44">
        <v>2.09</v>
      </c>
      <c r="K185" s="45">
        <v>1.62</v>
      </c>
      <c r="L185" s="42" t="s">
        <v>103</v>
      </c>
      <c r="M185" s="42">
        <v>0</v>
      </c>
      <c r="N185" s="46">
        <f t="shared" si="5"/>
        <v>0</v>
      </c>
    </row>
    <row r="186" spans="1:14" x14ac:dyDescent="0.2">
      <c r="A186" s="36" t="s">
        <v>1596</v>
      </c>
      <c r="B186" s="36" t="s">
        <v>58</v>
      </c>
      <c r="C186" s="36" t="s">
        <v>59</v>
      </c>
      <c r="D186" s="40">
        <v>45734</v>
      </c>
      <c r="E186" s="36" t="s">
        <v>1401</v>
      </c>
      <c r="F186" s="36" t="s">
        <v>23</v>
      </c>
      <c r="G186" s="36" t="s">
        <v>102</v>
      </c>
      <c r="H186" s="37">
        <v>788.3</v>
      </c>
      <c r="I186" s="37">
        <v>298.85000000000002</v>
      </c>
      <c r="J186" s="37">
        <v>509.21</v>
      </c>
      <c r="K186" s="41">
        <v>0.38</v>
      </c>
      <c r="L186" s="36" t="s">
        <v>318</v>
      </c>
      <c r="M186" s="36">
        <v>0</v>
      </c>
      <c r="N186" s="38">
        <f t="shared" si="5"/>
        <v>80</v>
      </c>
    </row>
    <row r="187" spans="1:14" x14ac:dyDescent="0.2">
      <c r="A187" s="42" t="s">
        <v>1597</v>
      </c>
      <c r="B187" s="42" t="s">
        <v>220</v>
      </c>
      <c r="C187" s="42" t="s">
        <v>221</v>
      </c>
      <c r="D187" s="43">
        <v>46043</v>
      </c>
      <c r="E187" s="42" t="s">
        <v>1398</v>
      </c>
      <c r="F187" s="42" t="s">
        <v>30</v>
      </c>
      <c r="G187" s="42" t="s">
        <v>102</v>
      </c>
      <c r="H187" s="44">
        <v>186.64</v>
      </c>
      <c r="I187" s="44">
        <v>403.66</v>
      </c>
      <c r="J187" s="44">
        <v>16.579999999999998</v>
      </c>
      <c r="K187" s="45">
        <v>2.16</v>
      </c>
      <c r="L187" s="42" t="s">
        <v>103</v>
      </c>
      <c r="M187" s="42">
        <v>0</v>
      </c>
      <c r="N187" s="46">
        <f t="shared" si="5"/>
        <v>0</v>
      </c>
    </row>
    <row r="188" spans="1:14" x14ac:dyDescent="0.2">
      <c r="A188" s="36" t="s">
        <v>1598</v>
      </c>
      <c r="B188" s="36" t="s">
        <v>714</v>
      </c>
      <c r="C188" s="36" t="s">
        <v>715</v>
      </c>
      <c r="D188" s="40">
        <v>45733</v>
      </c>
      <c r="E188" s="36" t="s">
        <v>1410</v>
      </c>
      <c r="F188" s="36" t="s">
        <v>34</v>
      </c>
      <c r="G188" s="36" t="s">
        <v>102</v>
      </c>
      <c r="H188" s="37">
        <v>57.01</v>
      </c>
      <c r="I188" s="37">
        <v>58.31</v>
      </c>
      <c r="J188" s="37">
        <v>13.03</v>
      </c>
      <c r="K188" s="41">
        <v>1.02</v>
      </c>
      <c r="L188" s="36" t="s">
        <v>103</v>
      </c>
      <c r="M188" s="36">
        <v>1</v>
      </c>
      <c r="N188" s="38">
        <f t="shared" si="5"/>
        <v>0</v>
      </c>
    </row>
    <row r="189" spans="1:14" x14ac:dyDescent="0.2">
      <c r="A189" s="42" t="s">
        <v>1599</v>
      </c>
      <c r="B189" s="42" t="s">
        <v>236</v>
      </c>
      <c r="C189" s="42" t="s">
        <v>237</v>
      </c>
      <c r="D189" s="43">
        <v>45862</v>
      </c>
      <c r="E189" s="42" t="s">
        <v>1394</v>
      </c>
      <c r="F189" s="42" t="s">
        <v>34</v>
      </c>
      <c r="G189" s="42" t="s">
        <v>102</v>
      </c>
      <c r="H189" s="44">
        <v>93.52</v>
      </c>
      <c r="I189" s="44">
        <v>175.45</v>
      </c>
      <c r="J189" s="44">
        <v>16.25</v>
      </c>
      <c r="K189" s="45">
        <v>1.88</v>
      </c>
      <c r="L189" s="42" t="s">
        <v>103</v>
      </c>
      <c r="M189" s="42">
        <v>1</v>
      </c>
      <c r="N189" s="46">
        <f t="shared" si="5"/>
        <v>0</v>
      </c>
    </row>
    <row r="190" spans="1:14" x14ac:dyDescent="0.2">
      <c r="A190" s="36" t="s">
        <v>1600</v>
      </c>
      <c r="B190" s="36" t="s">
        <v>212</v>
      </c>
      <c r="C190" s="36" t="s">
        <v>213</v>
      </c>
      <c r="D190" s="40">
        <v>46048</v>
      </c>
      <c r="E190" s="36" t="s">
        <v>1394</v>
      </c>
      <c r="F190" s="36" t="s">
        <v>34</v>
      </c>
      <c r="G190" s="36" t="s">
        <v>102</v>
      </c>
      <c r="H190" s="37">
        <v>57.76</v>
      </c>
      <c r="I190" s="37">
        <v>133.43</v>
      </c>
      <c r="J190" s="37">
        <v>11.27</v>
      </c>
      <c r="K190" s="41">
        <v>2.31</v>
      </c>
      <c r="L190" s="36" t="s">
        <v>103</v>
      </c>
      <c r="M190" s="36">
        <v>0</v>
      </c>
      <c r="N190" s="38">
        <f t="shared" si="5"/>
        <v>0</v>
      </c>
    </row>
    <row r="191" spans="1:14" x14ac:dyDescent="0.2">
      <c r="A191" s="42" t="s">
        <v>1601</v>
      </c>
      <c r="B191" s="42" t="s">
        <v>1034</v>
      </c>
      <c r="C191" s="42" t="s">
        <v>1035</v>
      </c>
      <c r="D191" s="43">
        <v>45758</v>
      </c>
      <c r="E191" s="42" t="s">
        <v>1407</v>
      </c>
      <c r="F191" s="42" t="s">
        <v>34</v>
      </c>
      <c r="G191" s="42" t="s">
        <v>103</v>
      </c>
      <c r="H191" s="44">
        <v>177.13</v>
      </c>
      <c r="I191" s="44">
        <v>618.55999999999995</v>
      </c>
      <c r="J191" s="44">
        <v>37.14</v>
      </c>
      <c r="K191" s="45">
        <v>3.49</v>
      </c>
      <c r="L191" s="42" t="s">
        <v>103</v>
      </c>
      <c r="M191" s="42">
        <v>0</v>
      </c>
      <c r="N191" s="46">
        <f t="shared" si="5"/>
        <v>20</v>
      </c>
    </row>
    <row r="192" spans="1:14" x14ac:dyDescent="0.2">
      <c r="A192" s="36" t="s">
        <v>1602</v>
      </c>
      <c r="B192" s="36" t="s">
        <v>307</v>
      </c>
      <c r="C192" s="36" t="s">
        <v>308</v>
      </c>
      <c r="D192" s="40">
        <v>45794</v>
      </c>
      <c r="E192" s="36" t="s">
        <v>1410</v>
      </c>
      <c r="F192" s="36" t="s">
        <v>26</v>
      </c>
      <c r="G192" s="36" t="s">
        <v>102</v>
      </c>
      <c r="H192" s="37">
        <v>237.5</v>
      </c>
      <c r="I192" s="37">
        <v>397.39</v>
      </c>
      <c r="J192" s="37">
        <v>87.79</v>
      </c>
      <c r="K192" s="41">
        <v>1.67</v>
      </c>
      <c r="L192" s="36" t="s">
        <v>103</v>
      </c>
      <c r="M192" s="36">
        <v>0</v>
      </c>
      <c r="N192" s="38">
        <f t="shared" si="5"/>
        <v>0</v>
      </c>
    </row>
    <row r="193" spans="1:14" x14ac:dyDescent="0.2">
      <c r="A193" s="42" t="s">
        <v>1603</v>
      </c>
      <c r="B193" s="42" t="s">
        <v>1296</v>
      </c>
      <c r="C193" s="42" t="s">
        <v>1297</v>
      </c>
      <c r="D193" s="43">
        <v>46001</v>
      </c>
      <c r="E193" s="42" t="s">
        <v>1398</v>
      </c>
      <c r="F193" s="42" t="s">
        <v>23</v>
      </c>
      <c r="G193" s="42" t="s">
        <v>102</v>
      </c>
      <c r="H193" s="44">
        <v>135.80000000000001</v>
      </c>
      <c r="I193" s="44">
        <v>242.57</v>
      </c>
      <c r="J193" s="44">
        <v>10.35</v>
      </c>
      <c r="K193" s="45">
        <v>1.79</v>
      </c>
      <c r="L193" s="42" t="s">
        <v>103</v>
      </c>
      <c r="M193" s="42">
        <v>0</v>
      </c>
      <c r="N193" s="46">
        <f t="shared" si="5"/>
        <v>0</v>
      </c>
    </row>
    <row r="194" spans="1:14" x14ac:dyDescent="0.2">
      <c r="A194" s="36" t="s">
        <v>1604</v>
      </c>
      <c r="B194" s="36" t="s">
        <v>838</v>
      </c>
      <c r="C194" s="36" t="s">
        <v>839</v>
      </c>
      <c r="D194" s="40">
        <v>45993</v>
      </c>
      <c r="E194" s="36" t="s">
        <v>1404</v>
      </c>
      <c r="F194" s="36" t="s">
        <v>34</v>
      </c>
      <c r="G194" s="36" t="s">
        <v>102</v>
      </c>
      <c r="H194" s="37">
        <v>26.78</v>
      </c>
      <c r="I194" s="37">
        <v>43.46</v>
      </c>
      <c r="J194" s="37">
        <v>10.58</v>
      </c>
      <c r="K194" s="41">
        <v>1.62</v>
      </c>
      <c r="L194" s="36" t="s">
        <v>103</v>
      </c>
      <c r="M194" s="36">
        <v>0</v>
      </c>
      <c r="N194" s="38">
        <f t="shared" ref="N194:N201" si="6">IF(L194="YES",35,0)+IF(K194&lt;0.5,30,IF(K194&lt;1,15,0))+IF(G194="No",20,0)+IF(J194/H194&gt;0.6,15,0)</f>
        <v>0</v>
      </c>
    </row>
    <row r="195" spans="1:14" x14ac:dyDescent="0.2">
      <c r="A195" s="42" t="s">
        <v>1605</v>
      </c>
      <c r="B195" s="42" t="s">
        <v>499</v>
      </c>
      <c r="C195" s="42" t="s">
        <v>500</v>
      </c>
      <c r="D195" s="43">
        <v>45977</v>
      </c>
      <c r="E195" s="42" t="s">
        <v>1407</v>
      </c>
      <c r="F195" s="42" t="s">
        <v>34</v>
      </c>
      <c r="G195" s="42" t="s">
        <v>103</v>
      </c>
      <c r="H195" s="44">
        <v>60.83</v>
      </c>
      <c r="I195" s="44">
        <v>56.03</v>
      </c>
      <c r="J195" s="44">
        <v>19.91</v>
      </c>
      <c r="K195" s="45">
        <v>0.92</v>
      </c>
      <c r="L195" s="42" t="s">
        <v>103</v>
      </c>
      <c r="M195" s="42">
        <v>0</v>
      </c>
      <c r="N195" s="46">
        <f t="shared" si="6"/>
        <v>35</v>
      </c>
    </row>
    <row r="196" spans="1:14" x14ac:dyDescent="0.2">
      <c r="A196" s="36" t="s">
        <v>1606</v>
      </c>
      <c r="B196" s="36" t="s">
        <v>1448</v>
      </c>
      <c r="C196" s="36" t="s">
        <v>1449</v>
      </c>
      <c r="D196" s="40">
        <v>45849</v>
      </c>
      <c r="E196" s="36" t="s">
        <v>1394</v>
      </c>
      <c r="F196" s="36" t="s">
        <v>32</v>
      </c>
      <c r="G196" s="36" t="s">
        <v>103</v>
      </c>
      <c r="H196" s="37">
        <v>63.68</v>
      </c>
      <c r="I196" s="37">
        <v>176.2</v>
      </c>
      <c r="J196" s="37">
        <v>2.19</v>
      </c>
      <c r="K196" s="41">
        <v>2.77</v>
      </c>
      <c r="L196" s="36" t="s">
        <v>103</v>
      </c>
      <c r="M196" s="36">
        <v>1</v>
      </c>
      <c r="N196" s="38">
        <f t="shared" si="6"/>
        <v>20</v>
      </c>
    </row>
    <row r="197" spans="1:14" x14ac:dyDescent="0.2">
      <c r="A197" s="42" t="s">
        <v>1607</v>
      </c>
      <c r="B197" s="42" t="s">
        <v>973</v>
      </c>
      <c r="C197" s="42" t="s">
        <v>974</v>
      </c>
      <c r="D197" s="43">
        <v>45782</v>
      </c>
      <c r="E197" s="42" t="s">
        <v>1396</v>
      </c>
      <c r="F197" s="42" t="s">
        <v>34</v>
      </c>
      <c r="G197" s="42" t="s">
        <v>102</v>
      </c>
      <c r="H197" s="44">
        <v>285.7</v>
      </c>
      <c r="I197" s="44">
        <v>943.43</v>
      </c>
      <c r="J197" s="44">
        <v>99.28</v>
      </c>
      <c r="K197" s="45">
        <v>3.3</v>
      </c>
      <c r="L197" s="42" t="s">
        <v>103</v>
      </c>
      <c r="M197" s="42">
        <v>2</v>
      </c>
      <c r="N197" s="46">
        <f t="shared" si="6"/>
        <v>0</v>
      </c>
    </row>
    <row r="198" spans="1:14" x14ac:dyDescent="0.2">
      <c r="A198" s="36" t="s">
        <v>1608</v>
      </c>
      <c r="B198" s="36" t="s">
        <v>650</v>
      </c>
      <c r="C198" s="36" t="s">
        <v>651</v>
      </c>
      <c r="D198" s="40">
        <v>45665</v>
      </c>
      <c r="E198" s="36" t="s">
        <v>1401</v>
      </c>
      <c r="F198" s="36" t="s">
        <v>23</v>
      </c>
      <c r="G198" s="36" t="s">
        <v>102</v>
      </c>
      <c r="H198" s="37">
        <v>116.12</v>
      </c>
      <c r="I198" s="37">
        <v>345.06</v>
      </c>
      <c r="J198" s="37">
        <v>14.17</v>
      </c>
      <c r="K198" s="41">
        <v>2.97</v>
      </c>
      <c r="L198" s="36" t="s">
        <v>103</v>
      </c>
      <c r="M198" s="36">
        <v>2</v>
      </c>
      <c r="N198" s="38">
        <f t="shared" si="6"/>
        <v>0</v>
      </c>
    </row>
    <row r="199" spans="1:14" x14ac:dyDescent="0.2">
      <c r="A199" s="42" t="s">
        <v>1609</v>
      </c>
      <c r="B199" s="42" t="s">
        <v>123</v>
      </c>
      <c r="C199" s="42" t="s">
        <v>124</v>
      </c>
      <c r="D199" s="43">
        <v>45827</v>
      </c>
      <c r="E199" s="42" t="s">
        <v>1404</v>
      </c>
      <c r="F199" s="42" t="s">
        <v>34</v>
      </c>
      <c r="G199" s="42" t="s">
        <v>102</v>
      </c>
      <c r="H199" s="44">
        <v>78.52</v>
      </c>
      <c r="I199" s="44">
        <v>176.88</v>
      </c>
      <c r="J199" s="44">
        <v>6.4</v>
      </c>
      <c r="K199" s="45">
        <v>2.25</v>
      </c>
      <c r="L199" s="42" t="s">
        <v>103</v>
      </c>
      <c r="M199" s="42">
        <v>0</v>
      </c>
      <c r="N199" s="46">
        <f t="shared" si="6"/>
        <v>0</v>
      </c>
    </row>
    <row r="200" spans="1:14" x14ac:dyDescent="0.2">
      <c r="A200" s="36" t="s">
        <v>1610</v>
      </c>
      <c r="B200" s="36" t="s">
        <v>67</v>
      </c>
      <c r="C200" s="36" t="s">
        <v>68</v>
      </c>
      <c r="D200" s="40">
        <v>45790</v>
      </c>
      <c r="E200" s="36" t="s">
        <v>1394</v>
      </c>
      <c r="F200" s="36" t="s">
        <v>34</v>
      </c>
      <c r="G200" s="36" t="s">
        <v>103</v>
      </c>
      <c r="H200" s="37">
        <v>173.66</v>
      </c>
      <c r="I200" s="37">
        <v>431.06</v>
      </c>
      <c r="J200" s="37">
        <v>68.930000000000007</v>
      </c>
      <c r="K200" s="41">
        <v>2.48</v>
      </c>
      <c r="L200" s="36" t="s">
        <v>103</v>
      </c>
      <c r="M200" s="36">
        <v>0</v>
      </c>
      <c r="N200" s="38">
        <f t="shared" si="6"/>
        <v>20</v>
      </c>
    </row>
    <row r="201" spans="1:14" x14ac:dyDescent="0.2">
      <c r="A201" s="42" t="s">
        <v>1611</v>
      </c>
      <c r="B201" s="42" t="s">
        <v>423</v>
      </c>
      <c r="C201" s="42" t="s">
        <v>424</v>
      </c>
      <c r="D201" s="43">
        <v>46000</v>
      </c>
      <c r="E201" s="42" t="s">
        <v>1410</v>
      </c>
      <c r="F201" s="42" t="s">
        <v>34</v>
      </c>
      <c r="G201" s="42" t="s">
        <v>102</v>
      </c>
      <c r="H201" s="44">
        <v>25.15</v>
      </c>
      <c r="I201" s="44">
        <v>59.71</v>
      </c>
      <c r="J201" s="44">
        <v>6.68</v>
      </c>
      <c r="K201" s="45">
        <v>2.37</v>
      </c>
      <c r="L201" s="42" t="s">
        <v>103</v>
      </c>
      <c r="M201" s="42">
        <v>0</v>
      </c>
      <c r="N201" s="46">
        <f t="shared" si="6"/>
        <v>0</v>
      </c>
    </row>
  </sheetData>
  <autoFilter ref="A1:N1" xr:uid="{00000000-0009-0000-0000-000002000000}"/>
  <mergeCells count="1">
    <mergeCell ref="O2:Z24"/>
  </mergeCells>
  <conditionalFormatting sqref="L2:L201">
    <cfRule type="cellIs" dxfId="0" priority="3" operator="equal">
      <formula>"YES"</formula>
    </cfRule>
  </conditionalFormatting>
  <conditionalFormatting sqref="N2:N201">
    <cfRule type="colorScale" priority="2">
      <colorScale>
        <cfvo type="num" val="0"/>
        <cfvo type="num" val="35"/>
        <cfvo type="num" val="85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O79"/>
  <sheetViews>
    <sheetView showGridLines="0" topLeftCell="B33" zoomScaleNormal="100" workbookViewId="0"/>
  </sheetViews>
  <sheetFormatPr baseColWidth="10" defaultColWidth="8.6640625" defaultRowHeight="15" x14ac:dyDescent="0.2"/>
  <cols>
    <col min="1" max="1" width="3" customWidth="1"/>
    <col min="2" max="4" width="14" customWidth="1"/>
    <col min="5" max="5" width="18" customWidth="1"/>
    <col min="6" max="8" width="16" customWidth="1"/>
    <col min="9" max="10" width="14" customWidth="1"/>
    <col min="11" max="13" width="16" customWidth="1"/>
    <col min="14" max="14" width="14" customWidth="1"/>
    <col min="15" max="15" width="3" customWidth="1"/>
  </cols>
  <sheetData>
    <row r="1" spans="1:15" ht="19.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9.5" customHeight="1" x14ac:dyDescent="0.2">
      <c r="A2" s="15"/>
      <c r="B2" s="64" t="s">
        <v>1612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15"/>
    </row>
    <row r="3" spans="1:15" ht="19.5" customHeight="1" x14ac:dyDescent="0.2">
      <c r="A3" s="15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15"/>
    </row>
    <row r="4" spans="1:15" ht="19.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3.5" customHeight="1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33.75" customHeight="1" x14ac:dyDescent="0.2">
      <c r="A6" s="15"/>
      <c r="B6" s="65" t="s">
        <v>1613</v>
      </c>
      <c r="C6" s="65"/>
      <c r="D6" s="15"/>
      <c r="E6" s="66" t="s">
        <v>1614</v>
      </c>
      <c r="F6" s="66"/>
      <c r="G6" s="15"/>
      <c r="H6" s="67" t="s">
        <v>1615</v>
      </c>
      <c r="I6" s="67"/>
      <c r="J6" s="15"/>
      <c r="K6" s="68" t="s">
        <v>1616</v>
      </c>
      <c r="L6" s="68"/>
      <c r="M6" s="15"/>
      <c r="N6" s="15"/>
      <c r="O6" s="15"/>
    </row>
    <row r="7" spans="1:15" ht="39.75" customHeight="1" x14ac:dyDescent="0.2">
      <c r="A7" s="15"/>
      <c r="B7" s="69">
        <f>COUNTIF(Transactions!R2:R501,"&gt;=60")</f>
        <v>16</v>
      </c>
      <c r="C7" s="69"/>
      <c r="D7" s="15"/>
      <c r="E7" s="70">
        <f>COUNTIF(Transactions!O2:O501,"YES")</f>
        <v>22</v>
      </c>
      <c r="F7" s="70"/>
      <c r="G7" s="15"/>
      <c r="H7" s="71">
        <f>COUNTIF(Bonuses!N2:N201,"&gt;=50")</f>
        <v>8</v>
      </c>
      <c r="I7" s="71"/>
      <c r="J7" s="15"/>
      <c r="K7" s="72">
        <f>COUNTIF(Transactions!K2:K501,"No")</f>
        <v>134</v>
      </c>
      <c r="L7" s="72"/>
      <c r="M7" s="15"/>
      <c r="N7" s="15"/>
      <c r="O7" s="15"/>
    </row>
    <row r="8" spans="1:15" ht="21.75" customHeight="1" x14ac:dyDescent="0.2">
      <c r="A8" s="15"/>
      <c r="B8" s="10" t="s">
        <v>1617</v>
      </c>
      <c r="C8" s="10"/>
      <c r="D8" s="15"/>
      <c r="E8" s="9" t="s">
        <v>1617</v>
      </c>
      <c r="F8" s="9"/>
      <c r="G8" s="15"/>
      <c r="H8" s="8" t="s">
        <v>1617</v>
      </c>
      <c r="I8" s="8"/>
      <c r="J8" s="15"/>
      <c r="K8" s="12" t="s">
        <v>1617</v>
      </c>
      <c r="L8" s="12"/>
      <c r="M8" s="15"/>
      <c r="N8" s="15"/>
      <c r="O8" s="15"/>
    </row>
    <row r="9" spans="1:15" ht="13.5" customHeight="1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ht="19.5" customHeight="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25.5" customHeight="1" x14ac:dyDescent="0.2">
      <c r="A11" s="15"/>
      <c r="B11" s="56" t="s">
        <v>1618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15"/>
    </row>
    <row r="12" spans="1:15" ht="19.5" customHeight="1" x14ac:dyDescent="0.2">
      <c r="A12" s="15"/>
      <c r="B12" s="16" t="s">
        <v>82</v>
      </c>
      <c r="C12" s="16" t="s">
        <v>36</v>
      </c>
      <c r="D12" s="16" t="s">
        <v>37</v>
      </c>
      <c r="E12" s="16" t="s">
        <v>86</v>
      </c>
      <c r="F12" s="16" t="s">
        <v>15</v>
      </c>
      <c r="G12" s="16" t="s">
        <v>87</v>
      </c>
      <c r="H12" s="16" t="s">
        <v>1619</v>
      </c>
      <c r="I12" s="16" t="s">
        <v>1620</v>
      </c>
      <c r="J12" s="16" t="s">
        <v>94</v>
      </c>
      <c r="K12" s="16" t="s">
        <v>1621</v>
      </c>
      <c r="L12" s="16" t="s">
        <v>1622</v>
      </c>
      <c r="M12" s="16" t="s">
        <v>1623</v>
      </c>
      <c r="N12" s="15"/>
      <c r="O12" s="15"/>
    </row>
    <row r="13" spans="1:15" ht="19.5" customHeight="1" x14ac:dyDescent="0.2">
      <c r="A13" s="15"/>
      <c r="B13" s="28" t="s">
        <v>316</v>
      </c>
      <c r="C13" s="28" t="s">
        <v>50</v>
      </c>
      <c r="D13" s="28" t="s">
        <v>51</v>
      </c>
      <c r="E13" s="28" t="s">
        <v>34</v>
      </c>
      <c r="F13" s="28" t="s">
        <v>30</v>
      </c>
      <c r="G13" s="28" t="s">
        <v>109</v>
      </c>
      <c r="H13" s="29">
        <v>5372.85</v>
      </c>
      <c r="I13" s="29">
        <v>15412.4</v>
      </c>
      <c r="J13" s="47">
        <v>2.87</v>
      </c>
      <c r="K13" s="28" t="s">
        <v>102</v>
      </c>
      <c r="L13" s="28">
        <v>65</v>
      </c>
      <c r="M13" s="30" t="s">
        <v>1624</v>
      </c>
      <c r="N13" s="15"/>
      <c r="O13" s="15"/>
    </row>
    <row r="14" spans="1:15" ht="19.5" customHeight="1" x14ac:dyDescent="0.2">
      <c r="A14" s="15"/>
      <c r="B14" s="36" t="s">
        <v>343</v>
      </c>
      <c r="C14" s="36" t="s">
        <v>52</v>
      </c>
      <c r="D14" s="36" t="s">
        <v>53</v>
      </c>
      <c r="E14" s="36" t="s">
        <v>32</v>
      </c>
      <c r="F14" s="36" t="s">
        <v>30</v>
      </c>
      <c r="G14" s="36" t="s">
        <v>109</v>
      </c>
      <c r="H14" s="37">
        <v>849.75</v>
      </c>
      <c r="I14" s="37">
        <v>2375.5500000000002</v>
      </c>
      <c r="J14" s="41">
        <v>2.8</v>
      </c>
      <c r="K14" s="36" t="s">
        <v>102</v>
      </c>
      <c r="L14" s="36">
        <v>47</v>
      </c>
      <c r="M14" s="48" t="s">
        <v>1625</v>
      </c>
      <c r="N14" s="15"/>
      <c r="O14" s="15"/>
    </row>
    <row r="15" spans="1:15" ht="19.5" customHeight="1" x14ac:dyDescent="0.2">
      <c r="A15" s="15"/>
      <c r="B15" s="28" t="s">
        <v>418</v>
      </c>
      <c r="C15" s="28" t="s">
        <v>54</v>
      </c>
      <c r="D15" s="28" t="s">
        <v>55</v>
      </c>
      <c r="E15" s="28" t="s">
        <v>34</v>
      </c>
      <c r="F15" s="28" t="s">
        <v>30</v>
      </c>
      <c r="G15" s="28" t="s">
        <v>143</v>
      </c>
      <c r="H15" s="29">
        <v>4091.34</v>
      </c>
      <c r="I15" s="29">
        <v>8265.8799999999992</v>
      </c>
      <c r="J15" s="47">
        <v>2.02</v>
      </c>
      <c r="K15" s="28" t="s">
        <v>102</v>
      </c>
      <c r="L15" s="28">
        <v>55</v>
      </c>
      <c r="M15" s="49" t="s">
        <v>1625</v>
      </c>
      <c r="N15" s="15"/>
      <c r="O15" s="15"/>
    </row>
    <row r="16" spans="1:15" ht="19.5" customHeight="1" x14ac:dyDescent="0.2">
      <c r="A16" s="15"/>
      <c r="B16" s="36" t="s">
        <v>420</v>
      </c>
      <c r="C16" s="36" t="s">
        <v>56</v>
      </c>
      <c r="D16" s="36" t="s">
        <v>57</v>
      </c>
      <c r="E16" s="36" t="s">
        <v>34</v>
      </c>
      <c r="F16" s="36" t="s">
        <v>30</v>
      </c>
      <c r="G16" s="36" t="s">
        <v>143</v>
      </c>
      <c r="H16" s="37">
        <v>1779.68</v>
      </c>
      <c r="I16" s="37">
        <v>4581.92</v>
      </c>
      <c r="J16" s="41">
        <v>2.57</v>
      </c>
      <c r="K16" s="36" t="s">
        <v>102</v>
      </c>
      <c r="L16" s="36">
        <v>55</v>
      </c>
      <c r="M16" s="48" t="s">
        <v>1625</v>
      </c>
      <c r="N16" s="15"/>
      <c r="O16" s="15"/>
    </row>
    <row r="17" spans="1:15" ht="19.5" customHeight="1" x14ac:dyDescent="0.2">
      <c r="A17" s="15"/>
      <c r="B17" s="28" t="s">
        <v>474</v>
      </c>
      <c r="C17" s="28" t="s">
        <v>46</v>
      </c>
      <c r="D17" s="28" t="s">
        <v>47</v>
      </c>
      <c r="E17" s="28" t="s">
        <v>23</v>
      </c>
      <c r="F17" s="28" t="s">
        <v>20</v>
      </c>
      <c r="G17" s="28" t="s">
        <v>183</v>
      </c>
      <c r="H17" s="29">
        <v>9096.09</v>
      </c>
      <c r="I17" s="29">
        <v>29126.09</v>
      </c>
      <c r="J17" s="47">
        <v>3.2</v>
      </c>
      <c r="K17" s="28" t="s">
        <v>102</v>
      </c>
      <c r="L17" s="28">
        <v>70</v>
      </c>
      <c r="M17" s="30" t="s">
        <v>1624</v>
      </c>
      <c r="N17" s="15"/>
      <c r="O17" s="15"/>
    </row>
    <row r="18" spans="1:15" ht="19.5" customHeight="1" x14ac:dyDescent="0.2">
      <c r="A18" s="15"/>
      <c r="B18" s="36" t="s">
        <v>514</v>
      </c>
      <c r="C18" s="36" t="s">
        <v>50</v>
      </c>
      <c r="D18" s="36" t="s">
        <v>51</v>
      </c>
      <c r="E18" s="36" t="s">
        <v>34</v>
      </c>
      <c r="F18" s="36" t="s">
        <v>28</v>
      </c>
      <c r="G18" s="36" t="s">
        <v>183</v>
      </c>
      <c r="H18" s="37">
        <v>7098.73</v>
      </c>
      <c r="I18" s="37">
        <v>23319.27</v>
      </c>
      <c r="J18" s="41">
        <v>3.28</v>
      </c>
      <c r="K18" s="36" t="s">
        <v>102</v>
      </c>
      <c r="L18" s="36">
        <v>70</v>
      </c>
      <c r="M18" s="50" t="s">
        <v>1624</v>
      </c>
      <c r="N18" s="15"/>
      <c r="O18" s="15"/>
    </row>
    <row r="19" spans="1:15" ht="19.5" customHeight="1" x14ac:dyDescent="0.2">
      <c r="A19" s="15"/>
      <c r="B19" s="28" t="s">
        <v>544</v>
      </c>
      <c r="C19" s="28" t="s">
        <v>48</v>
      </c>
      <c r="D19" s="28" t="s">
        <v>49</v>
      </c>
      <c r="E19" s="28" t="s">
        <v>34</v>
      </c>
      <c r="F19" s="28" t="s">
        <v>23</v>
      </c>
      <c r="G19" s="28" t="s">
        <v>183</v>
      </c>
      <c r="H19" s="29">
        <v>8335.5300000000007</v>
      </c>
      <c r="I19" s="29">
        <v>27688.7</v>
      </c>
      <c r="J19" s="47">
        <v>3.32</v>
      </c>
      <c r="K19" s="28" t="s">
        <v>102</v>
      </c>
      <c r="L19" s="28">
        <v>70</v>
      </c>
      <c r="M19" s="30" t="s">
        <v>1624</v>
      </c>
      <c r="N19" s="15"/>
      <c r="O19" s="15"/>
    </row>
    <row r="20" spans="1:15" ht="19.5" customHeight="1" x14ac:dyDescent="0.2">
      <c r="A20" s="15"/>
      <c r="B20" s="36" t="s">
        <v>678</v>
      </c>
      <c r="C20" s="36" t="s">
        <v>40</v>
      </c>
      <c r="D20" s="36" t="s">
        <v>41</v>
      </c>
      <c r="E20" s="36" t="s">
        <v>34</v>
      </c>
      <c r="F20" s="36" t="s">
        <v>20</v>
      </c>
      <c r="G20" s="36" t="s">
        <v>183</v>
      </c>
      <c r="H20" s="37">
        <v>3308.1</v>
      </c>
      <c r="I20" s="37">
        <v>12411.27</v>
      </c>
      <c r="J20" s="41">
        <v>3.75</v>
      </c>
      <c r="K20" s="36" t="s">
        <v>103</v>
      </c>
      <c r="L20" s="36">
        <v>90</v>
      </c>
      <c r="M20" s="50" t="s">
        <v>1624</v>
      </c>
      <c r="N20" s="15"/>
      <c r="O20" s="15"/>
    </row>
    <row r="21" spans="1:15" ht="19.5" customHeight="1" x14ac:dyDescent="0.2">
      <c r="A21" s="15"/>
      <c r="B21" s="28" t="s">
        <v>700</v>
      </c>
      <c r="C21" s="28" t="s">
        <v>52</v>
      </c>
      <c r="D21" s="28" t="s">
        <v>53</v>
      </c>
      <c r="E21" s="28" t="s">
        <v>32</v>
      </c>
      <c r="F21" s="28" t="s">
        <v>30</v>
      </c>
      <c r="G21" s="28" t="s">
        <v>101</v>
      </c>
      <c r="H21" s="29">
        <v>5696.81</v>
      </c>
      <c r="I21" s="29">
        <v>20602.36</v>
      </c>
      <c r="J21" s="47">
        <v>3.62</v>
      </c>
      <c r="K21" s="28" t="s">
        <v>102</v>
      </c>
      <c r="L21" s="28">
        <v>80</v>
      </c>
      <c r="M21" s="30" t="s">
        <v>1624</v>
      </c>
      <c r="N21" s="15"/>
      <c r="O21" s="15"/>
    </row>
    <row r="22" spans="1:15" ht="19.5" customHeight="1" x14ac:dyDescent="0.2">
      <c r="A22" s="15"/>
      <c r="B22" s="36" t="s">
        <v>968</v>
      </c>
      <c r="C22" s="36" t="s">
        <v>62</v>
      </c>
      <c r="D22" s="36" t="s">
        <v>63</v>
      </c>
      <c r="E22" s="36" t="s">
        <v>34</v>
      </c>
      <c r="F22" s="36" t="s">
        <v>23</v>
      </c>
      <c r="G22" s="36" t="s">
        <v>143</v>
      </c>
      <c r="H22" s="37">
        <v>8703.9699999999993</v>
      </c>
      <c r="I22" s="37">
        <v>22761.200000000001</v>
      </c>
      <c r="J22" s="41">
        <v>2.62</v>
      </c>
      <c r="K22" s="36" t="s">
        <v>102</v>
      </c>
      <c r="L22" s="36">
        <v>55</v>
      </c>
      <c r="M22" s="48" t="s">
        <v>1625</v>
      </c>
      <c r="N22" s="15"/>
      <c r="O22" s="15"/>
    </row>
    <row r="23" spans="1:15" ht="19.5" customHeight="1" x14ac:dyDescent="0.2">
      <c r="A23" s="15"/>
      <c r="B23" s="28" t="s">
        <v>980</v>
      </c>
      <c r="C23" s="28" t="s">
        <v>44</v>
      </c>
      <c r="D23" s="28" t="s">
        <v>45</v>
      </c>
      <c r="E23" s="28" t="s">
        <v>34</v>
      </c>
      <c r="F23" s="28" t="s">
        <v>23</v>
      </c>
      <c r="G23" s="28" t="s">
        <v>101</v>
      </c>
      <c r="H23" s="29">
        <v>7296.1</v>
      </c>
      <c r="I23" s="29">
        <v>15150.74</v>
      </c>
      <c r="J23" s="47">
        <v>2.08</v>
      </c>
      <c r="K23" s="28" t="s">
        <v>103</v>
      </c>
      <c r="L23" s="28">
        <v>75</v>
      </c>
      <c r="M23" s="30" t="s">
        <v>1624</v>
      </c>
      <c r="N23" s="15"/>
      <c r="O23" s="15"/>
    </row>
    <row r="24" spans="1:15" ht="19.5" customHeight="1" x14ac:dyDescent="0.2">
      <c r="A24" s="15"/>
      <c r="B24" s="36" t="s">
        <v>1008</v>
      </c>
      <c r="C24" s="36" t="s">
        <v>52</v>
      </c>
      <c r="D24" s="36" t="s">
        <v>53</v>
      </c>
      <c r="E24" s="36" t="s">
        <v>32</v>
      </c>
      <c r="F24" s="36" t="s">
        <v>30</v>
      </c>
      <c r="G24" s="36" t="s">
        <v>109</v>
      </c>
      <c r="H24" s="37">
        <v>6194.36</v>
      </c>
      <c r="I24" s="37">
        <v>12070.19</v>
      </c>
      <c r="J24" s="41">
        <v>1.95</v>
      </c>
      <c r="K24" s="36" t="s">
        <v>102</v>
      </c>
      <c r="L24" s="36">
        <v>55</v>
      </c>
      <c r="M24" s="48" t="s">
        <v>1625</v>
      </c>
      <c r="N24" s="15"/>
      <c r="O24" s="15"/>
    </row>
    <row r="25" spans="1:15" ht="19.5" customHeight="1" x14ac:dyDescent="0.2">
      <c r="A25" s="15"/>
      <c r="B25" s="28" t="s">
        <v>1029</v>
      </c>
      <c r="C25" s="28" t="s">
        <v>46</v>
      </c>
      <c r="D25" s="28" t="s">
        <v>47</v>
      </c>
      <c r="E25" s="28" t="s">
        <v>23</v>
      </c>
      <c r="F25" s="28" t="s">
        <v>28</v>
      </c>
      <c r="G25" s="28" t="s">
        <v>101</v>
      </c>
      <c r="H25" s="29">
        <v>5641.64</v>
      </c>
      <c r="I25" s="29">
        <v>24076.59</v>
      </c>
      <c r="J25" s="47">
        <v>4.2699999999999996</v>
      </c>
      <c r="K25" s="28" t="s">
        <v>102</v>
      </c>
      <c r="L25" s="28">
        <v>80</v>
      </c>
      <c r="M25" s="30" t="s">
        <v>1624</v>
      </c>
      <c r="N25" s="15"/>
      <c r="O25" s="15"/>
    </row>
    <row r="26" spans="1:15" ht="19.5" customHeight="1" x14ac:dyDescent="0.2">
      <c r="A26" s="15"/>
      <c r="B26" s="36" t="s">
        <v>1087</v>
      </c>
      <c r="C26" s="36" t="s">
        <v>46</v>
      </c>
      <c r="D26" s="36" t="s">
        <v>47</v>
      </c>
      <c r="E26" s="36" t="s">
        <v>23</v>
      </c>
      <c r="F26" s="36" t="s">
        <v>20</v>
      </c>
      <c r="G26" s="36" t="s">
        <v>143</v>
      </c>
      <c r="H26" s="37">
        <v>6366.02</v>
      </c>
      <c r="I26" s="37">
        <v>25246.7</v>
      </c>
      <c r="J26" s="41">
        <v>3.97</v>
      </c>
      <c r="K26" s="36" t="s">
        <v>102</v>
      </c>
      <c r="L26" s="36">
        <v>70</v>
      </c>
      <c r="M26" s="50" t="s">
        <v>1624</v>
      </c>
      <c r="N26" s="15"/>
      <c r="O26" s="15"/>
    </row>
    <row r="27" spans="1:15" ht="19.5" customHeight="1" x14ac:dyDescent="0.2">
      <c r="A27" s="15"/>
      <c r="B27" s="28" t="s">
        <v>1096</v>
      </c>
      <c r="C27" s="28" t="s">
        <v>52</v>
      </c>
      <c r="D27" s="28" t="s">
        <v>53</v>
      </c>
      <c r="E27" s="28" t="s">
        <v>32</v>
      </c>
      <c r="F27" s="28" t="s">
        <v>28</v>
      </c>
      <c r="G27" s="28" t="s">
        <v>109</v>
      </c>
      <c r="H27" s="29">
        <v>3799.68</v>
      </c>
      <c r="I27" s="29">
        <v>15449.12</v>
      </c>
      <c r="J27" s="47">
        <v>4.07</v>
      </c>
      <c r="K27" s="28" t="s">
        <v>102</v>
      </c>
      <c r="L27" s="28">
        <v>70</v>
      </c>
      <c r="M27" s="30" t="s">
        <v>1624</v>
      </c>
      <c r="N27" s="15"/>
      <c r="O27" s="15"/>
    </row>
    <row r="28" spans="1:15" ht="19.5" customHeight="1" x14ac:dyDescent="0.2">
      <c r="A28" s="15"/>
      <c r="B28" s="36" t="s">
        <v>1151</v>
      </c>
      <c r="C28" s="36" t="s">
        <v>50</v>
      </c>
      <c r="D28" s="36" t="s">
        <v>51</v>
      </c>
      <c r="E28" s="36" t="s">
        <v>34</v>
      </c>
      <c r="F28" s="36" t="s">
        <v>20</v>
      </c>
      <c r="G28" s="36" t="s">
        <v>143</v>
      </c>
      <c r="H28" s="37">
        <v>1401.98</v>
      </c>
      <c r="I28" s="37">
        <v>3306.95</v>
      </c>
      <c r="J28" s="41">
        <v>2.36</v>
      </c>
      <c r="K28" s="36" t="s">
        <v>102</v>
      </c>
      <c r="L28" s="36">
        <v>55</v>
      </c>
      <c r="M28" s="48" t="s">
        <v>1625</v>
      </c>
      <c r="N28" s="15"/>
      <c r="O28" s="15"/>
    </row>
    <row r="29" spans="1:15" ht="19.5" customHeight="1" x14ac:dyDescent="0.2">
      <c r="A29" s="15"/>
      <c r="B29" s="28" t="s">
        <v>1172</v>
      </c>
      <c r="C29" s="28" t="s">
        <v>50</v>
      </c>
      <c r="D29" s="28" t="s">
        <v>51</v>
      </c>
      <c r="E29" s="28" t="s">
        <v>34</v>
      </c>
      <c r="F29" s="28" t="s">
        <v>30</v>
      </c>
      <c r="G29" s="28" t="s">
        <v>183</v>
      </c>
      <c r="H29" s="29">
        <v>5333.1</v>
      </c>
      <c r="I29" s="29">
        <v>22806.13</v>
      </c>
      <c r="J29" s="47">
        <v>4.28</v>
      </c>
      <c r="K29" s="28" t="s">
        <v>102</v>
      </c>
      <c r="L29" s="28">
        <v>80</v>
      </c>
      <c r="M29" s="30" t="s">
        <v>1624</v>
      </c>
      <c r="N29" s="15"/>
      <c r="O29" s="15"/>
    </row>
    <row r="30" spans="1:15" ht="19.5" customHeight="1" x14ac:dyDescent="0.2">
      <c r="A30" s="15"/>
      <c r="B30" s="36" t="s">
        <v>1225</v>
      </c>
      <c r="C30" s="36" t="s">
        <v>40</v>
      </c>
      <c r="D30" s="36" t="s">
        <v>41</v>
      </c>
      <c r="E30" s="36" t="s">
        <v>34</v>
      </c>
      <c r="F30" s="36" t="s">
        <v>20</v>
      </c>
      <c r="G30" s="36" t="s">
        <v>143</v>
      </c>
      <c r="H30" s="37">
        <v>3691.45</v>
      </c>
      <c r="I30" s="37">
        <v>13754.7</v>
      </c>
      <c r="J30" s="41">
        <v>3.73</v>
      </c>
      <c r="K30" s="36" t="s">
        <v>103</v>
      </c>
      <c r="L30" s="36">
        <v>90</v>
      </c>
      <c r="M30" s="50" t="s">
        <v>1624</v>
      </c>
      <c r="N30" s="15"/>
      <c r="O30" s="15"/>
    </row>
    <row r="31" spans="1:15" ht="19.5" customHeight="1" x14ac:dyDescent="0.2">
      <c r="A31" s="15"/>
      <c r="B31" s="28" t="s">
        <v>1307</v>
      </c>
      <c r="C31" s="28" t="s">
        <v>58</v>
      </c>
      <c r="D31" s="28" t="s">
        <v>59</v>
      </c>
      <c r="E31" s="28" t="s">
        <v>23</v>
      </c>
      <c r="F31" s="28" t="s">
        <v>30</v>
      </c>
      <c r="G31" s="28" t="s">
        <v>101</v>
      </c>
      <c r="H31" s="29">
        <v>4525.49</v>
      </c>
      <c r="I31" s="29">
        <v>17024.71</v>
      </c>
      <c r="J31" s="47">
        <v>3.76</v>
      </c>
      <c r="K31" s="28" t="s">
        <v>102</v>
      </c>
      <c r="L31" s="28">
        <v>70</v>
      </c>
      <c r="M31" s="30" t="s">
        <v>1624</v>
      </c>
      <c r="N31" s="15"/>
      <c r="O31" s="15"/>
    </row>
    <row r="32" spans="1:15" ht="19.5" customHeight="1" x14ac:dyDescent="0.2">
      <c r="A32" s="15"/>
      <c r="B32" s="36" t="s">
        <v>1334</v>
      </c>
      <c r="C32" s="36" t="s">
        <v>46</v>
      </c>
      <c r="D32" s="36" t="s">
        <v>47</v>
      </c>
      <c r="E32" s="36" t="s">
        <v>23</v>
      </c>
      <c r="F32" s="36" t="s">
        <v>20</v>
      </c>
      <c r="G32" s="36" t="s">
        <v>143</v>
      </c>
      <c r="H32" s="37">
        <v>3044.44</v>
      </c>
      <c r="I32" s="37">
        <v>13400.72</v>
      </c>
      <c r="J32" s="41">
        <v>4.4000000000000004</v>
      </c>
      <c r="K32" s="36" t="s">
        <v>102</v>
      </c>
      <c r="L32" s="36">
        <v>70</v>
      </c>
      <c r="M32" s="50" t="s">
        <v>1624</v>
      </c>
      <c r="N32" s="15"/>
      <c r="O32" s="15"/>
    </row>
    <row r="33" spans="1:15" ht="19.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9.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25.5" customHeight="1" x14ac:dyDescent="0.2">
      <c r="A35" s="15"/>
      <c r="B35" s="73" t="s">
        <v>1626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15"/>
    </row>
    <row r="36" spans="1:15" ht="19.5" customHeight="1" x14ac:dyDescent="0.2">
      <c r="A36" s="15"/>
      <c r="B36" s="51" t="s">
        <v>1385</v>
      </c>
      <c r="C36" s="51" t="s">
        <v>36</v>
      </c>
      <c r="D36" s="51" t="s">
        <v>37</v>
      </c>
      <c r="E36" s="51" t="s">
        <v>1386</v>
      </c>
      <c r="F36" s="51" t="s">
        <v>1627</v>
      </c>
      <c r="G36" s="51" t="s">
        <v>1628</v>
      </c>
      <c r="H36" s="51" t="s">
        <v>1629</v>
      </c>
      <c r="I36" s="51" t="s">
        <v>1390</v>
      </c>
      <c r="J36" s="51" t="s">
        <v>1630</v>
      </c>
      <c r="K36" s="51" t="s">
        <v>1621</v>
      </c>
      <c r="L36" s="51" t="s">
        <v>86</v>
      </c>
      <c r="M36" s="51" t="s">
        <v>1631</v>
      </c>
      <c r="N36" s="15"/>
      <c r="O36" s="15"/>
    </row>
    <row r="37" spans="1:15" ht="19.5" customHeight="1" x14ac:dyDescent="0.2">
      <c r="A37" s="15"/>
      <c r="B37" s="31" t="s">
        <v>1414</v>
      </c>
      <c r="C37" s="31" t="s">
        <v>56</v>
      </c>
      <c r="D37" s="31" t="s">
        <v>57</v>
      </c>
      <c r="E37" s="31" t="s">
        <v>1404</v>
      </c>
      <c r="F37" s="32">
        <v>1011.16</v>
      </c>
      <c r="G37" s="32">
        <v>350.4</v>
      </c>
      <c r="H37" s="32">
        <v>699.42</v>
      </c>
      <c r="I37" s="52">
        <v>0.35</v>
      </c>
      <c r="J37" s="33" t="s">
        <v>318</v>
      </c>
      <c r="K37" s="31" t="s">
        <v>102</v>
      </c>
      <c r="L37" s="31" t="s">
        <v>34</v>
      </c>
      <c r="M37" s="33">
        <v>80</v>
      </c>
      <c r="N37" s="15"/>
      <c r="O37" s="15"/>
    </row>
    <row r="38" spans="1:15" ht="19.5" customHeight="1" x14ac:dyDescent="0.2">
      <c r="A38" s="15"/>
      <c r="B38" s="36" t="s">
        <v>1460</v>
      </c>
      <c r="C38" s="36" t="s">
        <v>58</v>
      </c>
      <c r="D38" s="36" t="s">
        <v>59</v>
      </c>
      <c r="E38" s="36" t="s">
        <v>1404</v>
      </c>
      <c r="F38" s="37">
        <v>1301.3900000000001</v>
      </c>
      <c r="G38" s="37">
        <v>646.42999999999995</v>
      </c>
      <c r="H38" s="37">
        <v>936.01</v>
      </c>
      <c r="I38" s="41">
        <v>0.5</v>
      </c>
      <c r="J38" s="50" t="s">
        <v>318</v>
      </c>
      <c r="K38" s="36" t="s">
        <v>102</v>
      </c>
      <c r="L38" s="36" t="s">
        <v>23</v>
      </c>
      <c r="M38" s="50">
        <v>65</v>
      </c>
      <c r="N38" s="15"/>
      <c r="O38" s="15"/>
    </row>
    <row r="39" spans="1:15" ht="19.5" customHeight="1" x14ac:dyDescent="0.2">
      <c r="A39" s="15"/>
      <c r="B39" s="31" t="s">
        <v>1497</v>
      </c>
      <c r="C39" s="31" t="s">
        <v>40</v>
      </c>
      <c r="D39" s="31" t="s">
        <v>41</v>
      </c>
      <c r="E39" s="31" t="s">
        <v>1398</v>
      </c>
      <c r="F39" s="32">
        <v>1187.4100000000001</v>
      </c>
      <c r="G39" s="32">
        <v>231.37</v>
      </c>
      <c r="H39" s="32">
        <v>880.35</v>
      </c>
      <c r="I39" s="52">
        <v>0.19</v>
      </c>
      <c r="J39" s="33" t="s">
        <v>318</v>
      </c>
      <c r="K39" s="31" t="s">
        <v>103</v>
      </c>
      <c r="L39" s="31" t="s">
        <v>34</v>
      </c>
      <c r="M39" s="33">
        <v>100</v>
      </c>
      <c r="N39" s="15"/>
      <c r="O39" s="15"/>
    </row>
    <row r="40" spans="1:15" ht="19.5" customHeight="1" x14ac:dyDescent="0.2">
      <c r="A40" s="15"/>
      <c r="B40" s="36" t="s">
        <v>1529</v>
      </c>
      <c r="C40" s="36" t="s">
        <v>40</v>
      </c>
      <c r="D40" s="36" t="s">
        <v>41</v>
      </c>
      <c r="E40" s="36" t="s">
        <v>1398</v>
      </c>
      <c r="F40" s="37">
        <v>746.43</v>
      </c>
      <c r="G40" s="37">
        <v>74.67</v>
      </c>
      <c r="H40" s="37">
        <v>630.45000000000005</v>
      </c>
      <c r="I40" s="41">
        <v>0.1</v>
      </c>
      <c r="J40" s="36" t="s">
        <v>103</v>
      </c>
      <c r="K40" s="36" t="s">
        <v>103</v>
      </c>
      <c r="L40" s="36" t="s">
        <v>34</v>
      </c>
      <c r="M40" s="50">
        <v>65</v>
      </c>
      <c r="N40" s="15"/>
      <c r="O40" s="15"/>
    </row>
    <row r="41" spans="1:15" ht="19.5" customHeight="1" x14ac:dyDescent="0.2">
      <c r="A41" s="15"/>
      <c r="B41" s="31" t="s">
        <v>1535</v>
      </c>
      <c r="C41" s="31" t="s">
        <v>44</v>
      </c>
      <c r="D41" s="31" t="s">
        <v>45</v>
      </c>
      <c r="E41" s="31" t="s">
        <v>1407</v>
      </c>
      <c r="F41" s="32">
        <v>689.36</v>
      </c>
      <c r="G41" s="32">
        <v>247.74</v>
      </c>
      <c r="H41" s="32">
        <v>523.63</v>
      </c>
      <c r="I41" s="52">
        <v>0.36</v>
      </c>
      <c r="J41" s="33" t="s">
        <v>318</v>
      </c>
      <c r="K41" s="31" t="s">
        <v>103</v>
      </c>
      <c r="L41" s="31" t="s">
        <v>34</v>
      </c>
      <c r="M41" s="33">
        <v>100</v>
      </c>
      <c r="N41" s="15"/>
      <c r="O41" s="15"/>
    </row>
    <row r="42" spans="1:15" ht="19.5" customHeight="1" x14ac:dyDescent="0.2">
      <c r="A42" s="15"/>
      <c r="B42" s="36" t="s">
        <v>1539</v>
      </c>
      <c r="C42" s="36" t="s">
        <v>62</v>
      </c>
      <c r="D42" s="36" t="s">
        <v>63</v>
      </c>
      <c r="E42" s="36" t="s">
        <v>1401</v>
      </c>
      <c r="F42" s="37">
        <v>214.77</v>
      </c>
      <c r="G42" s="37">
        <v>29.23</v>
      </c>
      <c r="H42" s="37">
        <v>129.81</v>
      </c>
      <c r="I42" s="41">
        <v>0.14000000000000001</v>
      </c>
      <c r="J42" s="50" t="s">
        <v>318</v>
      </c>
      <c r="K42" s="36" t="s">
        <v>102</v>
      </c>
      <c r="L42" s="36" t="s">
        <v>34</v>
      </c>
      <c r="M42" s="50">
        <v>80</v>
      </c>
      <c r="N42" s="15"/>
      <c r="O42" s="15"/>
    </row>
    <row r="43" spans="1:15" ht="19.5" customHeight="1" x14ac:dyDescent="0.2">
      <c r="A43" s="15"/>
      <c r="B43" s="31" t="s">
        <v>1561</v>
      </c>
      <c r="C43" s="31" t="s">
        <v>62</v>
      </c>
      <c r="D43" s="31" t="s">
        <v>63</v>
      </c>
      <c r="E43" s="31" t="s">
        <v>1398</v>
      </c>
      <c r="F43" s="32">
        <v>730.49</v>
      </c>
      <c r="G43" s="32">
        <v>276.72000000000003</v>
      </c>
      <c r="H43" s="32">
        <v>479.88</v>
      </c>
      <c r="I43" s="52">
        <v>0.38</v>
      </c>
      <c r="J43" s="33" t="s">
        <v>318</v>
      </c>
      <c r="K43" s="31" t="s">
        <v>102</v>
      </c>
      <c r="L43" s="31" t="s">
        <v>34</v>
      </c>
      <c r="M43" s="33">
        <v>80</v>
      </c>
      <c r="N43" s="15"/>
      <c r="O43" s="15"/>
    </row>
    <row r="44" spans="1:15" ht="19.5" customHeight="1" x14ac:dyDescent="0.2">
      <c r="A44" s="15"/>
      <c r="B44" s="36" t="s">
        <v>1596</v>
      </c>
      <c r="C44" s="36" t="s">
        <v>58</v>
      </c>
      <c r="D44" s="36" t="s">
        <v>59</v>
      </c>
      <c r="E44" s="36" t="s">
        <v>1401</v>
      </c>
      <c r="F44" s="37">
        <v>788.3</v>
      </c>
      <c r="G44" s="37">
        <v>298.85000000000002</v>
      </c>
      <c r="H44" s="37">
        <v>509.21</v>
      </c>
      <c r="I44" s="41">
        <v>0.38</v>
      </c>
      <c r="J44" s="50" t="s">
        <v>318</v>
      </c>
      <c r="K44" s="36" t="s">
        <v>102</v>
      </c>
      <c r="L44" s="36" t="s">
        <v>23</v>
      </c>
      <c r="M44" s="50">
        <v>80</v>
      </c>
      <c r="N44" s="15"/>
      <c r="O44" s="15"/>
    </row>
    <row r="45" spans="1:15" ht="19.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9.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9.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9.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ht="19.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9.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9.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9.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9.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9.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9.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9.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9.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9.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9.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9.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9.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9.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9.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9.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9.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9.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9.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9.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9.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9.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9.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9.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9.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9.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9.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9.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9.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9.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9.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</sheetData>
  <mergeCells count="15">
    <mergeCell ref="B11:N11"/>
    <mergeCell ref="B35:N35"/>
    <mergeCell ref="B7:C7"/>
    <mergeCell ref="E7:F7"/>
    <mergeCell ref="H7:I7"/>
    <mergeCell ref="K7:L7"/>
    <mergeCell ref="B8:C8"/>
    <mergeCell ref="E8:F8"/>
    <mergeCell ref="H8:I8"/>
    <mergeCell ref="K8:L8"/>
    <mergeCell ref="B2:N3"/>
    <mergeCell ref="B6:C6"/>
    <mergeCell ref="E6:F6"/>
    <mergeCell ref="H6:I6"/>
    <mergeCell ref="K6:L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Dashboard</vt:lpstr>
      <vt:lpstr>Transactions</vt:lpstr>
      <vt:lpstr>Bonuses</vt:lpstr>
      <vt:lpstr>🚨 Fraud 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 Ngubane</cp:lastModifiedBy>
  <cp:revision>0</cp:revision>
  <dcterms:created xsi:type="dcterms:W3CDTF">2026-03-04T16:27:03Z</dcterms:created>
  <dcterms:modified xsi:type="dcterms:W3CDTF">2026-03-04T18:49:55Z</dcterms:modified>
  <dc:language>en-US</dc:language>
</cp:coreProperties>
</file>